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ownloads\Telegram Desktop\"/>
    </mc:Choice>
  </mc:AlternateContent>
  <xr:revisionPtr revIDLastSave="0" documentId="13_ncr:1_{1C5050C1-9264-4396-9815-CCFC67495BA9}" xr6:coauthVersionLast="47" xr6:coauthVersionMax="47" xr10:uidLastSave="{00000000-0000-0000-0000-000000000000}"/>
  <bookViews>
    <workbookView xWindow="17850" yWindow="8055" windowWidth="26385" windowHeight="8625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2" i="1"/>
  <c r="D160" i="1"/>
  <c r="E160" i="1" s="1"/>
  <c r="F160" i="1" s="1"/>
  <c r="D111" i="1"/>
  <c r="E111" i="1" s="1"/>
  <c r="F111" i="1" s="1"/>
  <c r="E168" i="1"/>
  <c r="F168" i="1" s="1"/>
  <c r="E167" i="1"/>
  <c r="F167" i="1" s="1"/>
  <c r="D166" i="1"/>
  <c r="E166" i="1" s="1"/>
  <c r="F166" i="1" s="1"/>
  <c r="D165" i="1"/>
  <c r="E165" i="1" s="1"/>
  <c r="F165" i="1" s="1"/>
  <c r="D164" i="1"/>
  <c r="E164" i="1" s="1"/>
  <c r="F164" i="1" s="1"/>
  <c r="D163" i="1"/>
  <c r="E163" i="1" s="1"/>
  <c r="F163" i="1" s="1"/>
  <c r="D162" i="1"/>
  <c r="E162" i="1" s="1"/>
  <c r="F162" i="1" s="1"/>
  <c r="D161" i="1"/>
  <c r="E161" i="1" s="1"/>
  <c r="F161" i="1" s="1"/>
  <c r="D159" i="1"/>
  <c r="E159" i="1" s="1"/>
  <c r="F159" i="1" s="1"/>
  <c r="D158" i="1"/>
  <c r="E158" i="1" s="1"/>
  <c r="F158" i="1" s="1"/>
  <c r="D157" i="1"/>
  <c r="E157" i="1" s="1"/>
  <c r="F157" i="1" s="1"/>
  <c r="D156" i="1"/>
  <c r="E156" i="1" s="1"/>
  <c r="F156" i="1" s="1"/>
  <c r="D155" i="1"/>
  <c r="E155" i="1" s="1"/>
  <c r="F155" i="1" s="1"/>
  <c r="D154" i="1"/>
  <c r="E154" i="1" s="1"/>
  <c r="F154" i="1" s="1"/>
  <c r="E153" i="1"/>
  <c r="F153" i="1" s="1"/>
  <c r="D152" i="1"/>
  <c r="E152" i="1" s="1"/>
  <c r="F152" i="1" s="1"/>
  <c r="D151" i="1"/>
  <c r="E151" i="1" s="1"/>
  <c r="F151" i="1" s="1"/>
  <c r="D150" i="1"/>
  <c r="E150" i="1" s="1"/>
  <c r="F150" i="1" s="1"/>
  <c r="D149" i="1"/>
  <c r="E149" i="1" s="1"/>
  <c r="F149" i="1" s="1"/>
  <c r="D148" i="1"/>
  <c r="E148" i="1" s="1"/>
  <c r="F148" i="1" s="1"/>
  <c r="D147" i="1"/>
  <c r="E147" i="1" s="1"/>
  <c r="F147" i="1" s="1"/>
  <c r="D146" i="1"/>
  <c r="E146" i="1" s="1"/>
  <c r="F146" i="1" s="1"/>
  <c r="D145" i="1"/>
  <c r="E145" i="1" s="1"/>
  <c r="F145" i="1" s="1"/>
  <c r="D144" i="1"/>
  <c r="E144" i="1" s="1"/>
  <c r="F144" i="1" s="1"/>
  <c r="E143" i="1"/>
  <c r="F143" i="1" s="1"/>
  <c r="D143" i="1"/>
  <c r="D142" i="1"/>
  <c r="E142" i="1" s="1"/>
  <c r="F142" i="1" s="1"/>
  <c r="D141" i="1"/>
  <c r="E141" i="1" s="1"/>
  <c r="F141" i="1" s="1"/>
  <c r="D140" i="1"/>
  <c r="E140" i="1" s="1"/>
  <c r="F140" i="1" s="1"/>
  <c r="E139" i="1"/>
  <c r="F139" i="1" s="1"/>
  <c r="D139" i="1"/>
  <c r="D138" i="1"/>
  <c r="E138" i="1" s="1"/>
  <c r="F138" i="1" s="1"/>
  <c r="D137" i="1"/>
  <c r="E137" i="1" s="1"/>
  <c r="F137" i="1" s="1"/>
  <c r="D136" i="1"/>
  <c r="E136" i="1" s="1"/>
  <c r="F136" i="1" s="1"/>
  <c r="D135" i="1"/>
  <c r="E135" i="1" s="1"/>
  <c r="F135" i="1" s="1"/>
  <c r="D134" i="1"/>
  <c r="E134" i="1" s="1"/>
  <c r="F134" i="1" s="1"/>
  <c r="D133" i="1"/>
  <c r="E133" i="1" s="1"/>
  <c r="F133" i="1" s="1"/>
  <c r="D132" i="1"/>
  <c r="E132" i="1" s="1"/>
  <c r="F132" i="1" s="1"/>
  <c r="D131" i="1"/>
  <c r="E131" i="1" s="1"/>
  <c r="F131" i="1" s="1"/>
  <c r="D130" i="1"/>
  <c r="E130" i="1" s="1"/>
  <c r="F130" i="1" s="1"/>
  <c r="D129" i="1"/>
  <c r="E129" i="1" s="1"/>
  <c r="F129" i="1" s="1"/>
  <c r="D128" i="1"/>
  <c r="E128" i="1" s="1"/>
  <c r="F128" i="1" s="1"/>
  <c r="E127" i="1"/>
  <c r="F127" i="1" s="1"/>
  <c r="D127" i="1"/>
  <c r="D126" i="1"/>
  <c r="E126" i="1" s="1"/>
  <c r="F126" i="1" s="1"/>
  <c r="E125" i="1"/>
  <c r="F125" i="1" s="1"/>
  <c r="D125" i="1"/>
  <c r="D124" i="1"/>
  <c r="E124" i="1" s="1"/>
  <c r="F124" i="1" s="1"/>
  <c r="D123" i="1"/>
  <c r="E123" i="1" s="1"/>
  <c r="F123" i="1" s="1"/>
  <c r="D122" i="1"/>
  <c r="E122" i="1" s="1"/>
  <c r="F122" i="1" s="1"/>
  <c r="D121" i="1"/>
  <c r="E121" i="1" s="1"/>
  <c r="F121" i="1" s="1"/>
  <c r="D120" i="1"/>
  <c r="E120" i="1" s="1"/>
  <c r="F120" i="1" s="1"/>
  <c r="E119" i="1"/>
  <c r="F119" i="1" s="1"/>
  <c r="D119" i="1"/>
  <c r="D118" i="1"/>
  <c r="E118" i="1" s="1"/>
  <c r="F118" i="1" s="1"/>
  <c r="D117" i="1"/>
  <c r="E117" i="1" s="1"/>
  <c r="F117" i="1" s="1"/>
  <c r="D116" i="1"/>
  <c r="E116" i="1" s="1"/>
  <c r="F116" i="1" s="1"/>
  <c r="D115" i="1"/>
  <c r="E115" i="1" s="1"/>
  <c r="F115" i="1" s="1"/>
  <c r="D114" i="1"/>
  <c r="E114" i="1" s="1"/>
  <c r="F114" i="1" s="1"/>
  <c r="D113" i="1"/>
  <c r="E113" i="1" s="1"/>
  <c r="F113" i="1" s="1"/>
  <c r="D112" i="1"/>
  <c r="E112" i="1" s="1"/>
  <c r="F112" i="1" s="1"/>
  <c r="D110" i="1"/>
  <c r="E110" i="1" s="1"/>
  <c r="F110" i="1" s="1"/>
  <c r="D109" i="1"/>
  <c r="E109" i="1" s="1"/>
  <c r="F109" i="1" s="1"/>
  <c r="D108" i="1"/>
  <c r="E108" i="1" s="1"/>
  <c r="F108" i="1" s="1"/>
  <c r="D107" i="1"/>
  <c r="E107" i="1" s="1"/>
  <c r="F107" i="1" s="1"/>
  <c r="D106" i="1"/>
  <c r="E106" i="1" s="1"/>
  <c r="F106" i="1" s="1"/>
  <c r="D105" i="1"/>
  <c r="E105" i="1" s="1"/>
  <c r="F105" i="1" s="1"/>
  <c r="D104" i="1"/>
  <c r="E104" i="1" s="1"/>
  <c r="F104" i="1" s="1"/>
  <c r="E103" i="1"/>
  <c r="F103" i="1" s="1"/>
  <c r="D102" i="1"/>
  <c r="E102" i="1" s="1"/>
  <c r="F102" i="1" s="1"/>
  <c r="E101" i="1"/>
  <c r="F101" i="1" s="1"/>
  <c r="D101" i="1"/>
  <c r="D100" i="1"/>
  <c r="E100" i="1" s="1"/>
  <c r="F100" i="1" s="1"/>
  <c r="D99" i="1"/>
  <c r="E99" i="1" s="1"/>
  <c r="F99" i="1" s="1"/>
  <c r="D98" i="1"/>
  <c r="E98" i="1" s="1"/>
  <c r="F98" i="1" s="1"/>
  <c r="E97" i="1"/>
  <c r="F97" i="1" s="1"/>
  <c r="D96" i="1"/>
  <c r="E96" i="1" s="1"/>
  <c r="F96" i="1" s="1"/>
  <c r="E95" i="1"/>
  <c r="F95" i="1" s="1"/>
  <c r="E94" i="1"/>
  <c r="F94" i="1" s="1"/>
  <c r="D93" i="1"/>
  <c r="E93" i="1" s="1"/>
  <c r="F93" i="1" s="1"/>
  <c r="D92" i="1"/>
  <c r="E92" i="1" s="1"/>
  <c r="F92" i="1" s="1"/>
  <c r="D91" i="1"/>
  <c r="E91" i="1" s="1"/>
  <c r="F91" i="1" s="1"/>
  <c r="D90" i="1"/>
  <c r="E90" i="1" s="1"/>
  <c r="F90" i="1" s="1"/>
  <c r="E89" i="1"/>
  <c r="F89" i="1" s="1"/>
  <c r="D88" i="1"/>
  <c r="E88" i="1" s="1"/>
  <c r="F88" i="1" s="1"/>
  <c r="E87" i="1"/>
  <c r="F87" i="1" s="1"/>
  <c r="D86" i="1"/>
  <c r="E86" i="1" s="1"/>
  <c r="F86" i="1" s="1"/>
  <c r="D85" i="1"/>
  <c r="E85" i="1" s="1"/>
  <c r="F85" i="1" s="1"/>
  <c r="D84" i="1"/>
  <c r="E84" i="1" s="1"/>
  <c r="F84" i="1" s="1"/>
  <c r="E83" i="1"/>
  <c r="F83" i="1" s="1"/>
  <c r="D83" i="1"/>
  <c r="D82" i="1"/>
  <c r="E82" i="1" s="1"/>
  <c r="F82" i="1" s="1"/>
  <c r="E81" i="1"/>
  <c r="F81" i="1" s="1"/>
  <c r="D80" i="1"/>
  <c r="E80" i="1" s="1"/>
  <c r="F80" i="1" s="1"/>
  <c r="D79" i="1"/>
  <c r="E79" i="1" s="1"/>
  <c r="F79" i="1" s="1"/>
  <c r="D78" i="1"/>
  <c r="E78" i="1" s="1"/>
  <c r="F78" i="1" s="1"/>
  <c r="D77" i="1"/>
  <c r="E77" i="1" s="1"/>
  <c r="F77" i="1" s="1"/>
  <c r="D76" i="1"/>
  <c r="E76" i="1" s="1"/>
  <c r="F76" i="1" s="1"/>
  <c r="D75" i="1"/>
  <c r="E75" i="1" s="1"/>
  <c r="F75" i="1" s="1"/>
  <c r="D74" i="1"/>
  <c r="E74" i="1" s="1"/>
  <c r="F74" i="1" s="1"/>
  <c r="D73" i="1"/>
  <c r="E73" i="1" s="1"/>
  <c r="F73" i="1" s="1"/>
  <c r="D72" i="1"/>
  <c r="E72" i="1" s="1"/>
  <c r="F72" i="1" s="1"/>
  <c r="D71" i="1"/>
  <c r="E71" i="1" s="1"/>
  <c r="F71" i="1" s="1"/>
  <c r="D70" i="1"/>
  <c r="E70" i="1" s="1"/>
  <c r="F70" i="1" s="1"/>
  <c r="D69" i="1"/>
  <c r="E69" i="1" s="1"/>
  <c r="F69" i="1" s="1"/>
  <c r="D68" i="1"/>
  <c r="E68" i="1" s="1"/>
  <c r="F68" i="1" s="1"/>
  <c r="D67" i="1"/>
  <c r="E67" i="1" s="1"/>
  <c r="F67" i="1" s="1"/>
  <c r="D66" i="1"/>
  <c r="E66" i="1" s="1"/>
  <c r="F66" i="1" s="1"/>
  <c r="E65" i="1"/>
  <c r="F65" i="1" s="1"/>
  <c r="E64" i="1"/>
  <c r="F64" i="1" s="1"/>
  <c r="D64" i="1"/>
  <c r="D63" i="1"/>
  <c r="E63" i="1" s="1"/>
  <c r="F63" i="1" s="1"/>
  <c r="E62" i="1"/>
  <c r="F62" i="1" s="1"/>
  <c r="D62" i="1"/>
  <c r="D61" i="1"/>
  <c r="E61" i="1" s="1"/>
  <c r="F61" i="1" s="1"/>
  <c r="E60" i="1"/>
  <c r="F60" i="1" s="1"/>
  <c r="D60" i="1"/>
  <c r="D59" i="1"/>
  <c r="E59" i="1" s="1"/>
  <c r="F59" i="1" s="1"/>
  <c r="E58" i="1"/>
  <c r="F58" i="1" s="1"/>
  <c r="D58" i="1"/>
  <c r="D57" i="1"/>
  <c r="E57" i="1" s="1"/>
  <c r="F57" i="1" s="1"/>
  <c r="E56" i="1"/>
  <c r="F56" i="1" s="1"/>
  <c r="D56" i="1"/>
  <c r="D55" i="1"/>
  <c r="E55" i="1" s="1"/>
  <c r="F55" i="1" s="1"/>
  <c r="E54" i="1"/>
  <c r="F54" i="1" s="1"/>
  <c r="D54" i="1"/>
  <c r="D53" i="1"/>
  <c r="E53" i="1" s="1"/>
  <c r="F53" i="1" s="1"/>
  <c r="E52" i="1"/>
  <c r="F52" i="1" s="1"/>
  <c r="D52" i="1"/>
  <c r="F51" i="1"/>
  <c r="E51" i="1"/>
  <c r="F50" i="1"/>
  <c r="D50" i="1"/>
  <c r="E50" i="1" s="1"/>
  <c r="E49" i="1"/>
  <c r="F49" i="1" s="1"/>
  <c r="E48" i="1"/>
  <c r="F48" i="1" s="1"/>
  <c r="D48" i="1"/>
  <c r="D47" i="1"/>
  <c r="E47" i="1" s="1"/>
  <c r="F47" i="1" s="1"/>
  <c r="E46" i="1"/>
  <c r="F46" i="1" s="1"/>
  <c r="D45" i="1"/>
  <c r="E45" i="1" s="1"/>
  <c r="F45" i="1" s="1"/>
  <c r="D44" i="1"/>
  <c r="E44" i="1" s="1"/>
  <c r="F44" i="1" s="1"/>
  <c r="E43" i="1"/>
  <c r="F43" i="1" s="1"/>
  <c r="E42" i="1"/>
  <c r="F42" i="1" s="1"/>
  <c r="E41" i="1"/>
  <c r="F41" i="1" s="1"/>
  <c r="D41" i="1"/>
  <c r="D40" i="1"/>
  <c r="E40" i="1" s="1"/>
  <c r="F40" i="1" s="1"/>
  <c r="E39" i="1"/>
  <c r="F39" i="1" s="1"/>
  <c r="E38" i="1"/>
  <c r="F38" i="1" s="1"/>
  <c r="D38" i="1"/>
  <c r="D37" i="1"/>
  <c r="E37" i="1" s="1"/>
  <c r="F37" i="1" s="1"/>
  <c r="E36" i="1"/>
  <c r="F36" i="1" s="1"/>
  <c r="D36" i="1"/>
  <c r="D35" i="1"/>
  <c r="E35" i="1" s="1"/>
  <c r="F35" i="1" s="1"/>
  <c r="D34" i="1"/>
  <c r="E34" i="1" s="1"/>
  <c r="F34" i="1" s="1"/>
  <c r="D33" i="1"/>
  <c r="E33" i="1" s="1"/>
  <c r="F33" i="1" s="1"/>
  <c r="E32" i="1"/>
  <c r="F32" i="1" s="1"/>
  <c r="D32" i="1"/>
  <c r="D31" i="1"/>
  <c r="E31" i="1" s="1"/>
  <c r="F31" i="1" s="1"/>
  <c r="E30" i="1"/>
  <c r="F30" i="1" s="1"/>
  <c r="D30" i="1"/>
  <c r="D29" i="1"/>
  <c r="E29" i="1" s="1"/>
  <c r="F29" i="1" s="1"/>
  <c r="F28" i="1"/>
  <c r="E28" i="1"/>
  <c r="D27" i="1"/>
  <c r="E27" i="1" s="1"/>
  <c r="F27" i="1" s="1"/>
  <c r="F26" i="1"/>
  <c r="D26" i="1"/>
  <c r="E26" i="1" s="1"/>
  <c r="D25" i="1"/>
  <c r="E25" i="1" s="1"/>
  <c r="F25" i="1" s="1"/>
  <c r="F24" i="1"/>
  <c r="E24" i="1"/>
  <c r="D23" i="1"/>
  <c r="E23" i="1" s="1"/>
  <c r="F23" i="1" s="1"/>
  <c r="D22" i="1"/>
  <c r="E22" i="1" s="1"/>
  <c r="F22" i="1" s="1"/>
  <c r="E21" i="1"/>
  <c r="F21" i="1" s="1"/>
  <c r="D21" i="1"/>
  <c r="E20" i="1"/>
  <c r="F20" i="1" s="1"/>
  <c r="D20" i="1"/>
  <c r="E19" i="1"/>
  <c r="F19" i="1" s="1"/>
  <c r="E18" i="1"/>
  <c r="F18" i="1" s="1"/>
  <c r="D18" i="1"/>
  <c r="D17" i="1"/>
  <c r="E17" i="1" s="1"/>
  <c r="F17" i="1" s="1"/>
  <c r="D16" i="1"/>
  <c r="E16" i="1" s="1"/>
  <c r="F16" i="1" s="1"/>
  <c r="D15" i="1"/>
  <c r="E15" i="1" s="1"/>
  <c r="F15" i="1" s="1"/>
  <c r="D14" i="1"/>
  <c r="E14" i="1" s="1"/>
  <c r="F14" i="1" s="1"/>
  <c r="D13" i="1"/>
  <c r="E13" i="1" s="1"/>
  <c r="F13" i="1" s="1"/>
  <c r="D12" i="1"/>
  <c r="E12" i="1" s="1"/>
  <c r="F12" i="1" s="1"/>
  <c r="D11" i="1"/>
  <c r="E11" i="1" s="1"/>
  <c r="F11" i="1" s="1"/>
  <c r="D10" i="1"/>
  <c r="E10" i="1" s="1"/>
  <c r="F10" i="1" s="1"/>
  <c r="E9" i="1"/>
  <c r="F9" i="1" s="1"/>
  <c r="D9" i="1"/>
  <c r="D8" i="1"/>
  <c r="E8" i="1" s="1"/>
  <c r="F8" i="1" s="1"/>
  <c r="D7" i="1"/>
  <c r="E7" i="1" s="1"/>
  <c r="F7" i="1" s="1"/>
  <c r="D6" i="1"/>
  <c r="E6" i="1" s="1"/>
  <c r="F6" i="1" s="1"/>
  <c r="E5" i="1"/>
  <c r="F5" i="1" s="1"/>
  <c r="D5" i="1"/>
  <c r="E4" i="1"/>
  <c r="F4" i="1" s="1"/>
  <c r="F3" i="1"/>
  <c r="E3" i="1"/>
  <c r="E2" i="1"/>
  <c r="F2" i="1" s="1"/>
</calcChain>
</file>

<file path=xl/sharedStrings.xml><?xml version="1.0" encoding="utf-8"?>
<sst xmlns="http://schemas.openxmlformats.org/spreadsheetml/2006/main" count="209" uniqueCount="209">
  <si>
    <t xml:space="preserve">Артикул </t>
  </si>
  <si>
    <t>Вес</t>
  </si>
  <si>
    <t>Цена за гр в баттах</t>
  </si>
  <si>
    <t>Цена в баттах</t>
  </si>
  <si>
    <t>Себестоимость в руб</t>
  </si>
  <si>
    <t>Цена в рублях</t>
  </si>
  <si>
    <t>RG-001-TPZ-BL</t>
  </si>
  <si>
    <t>RG-001-EMD</t>
  </si>
  <si>
    <t>RG-001-CRL</t>
  </si>
  <si>
    <t xml:space="preserve">Кольца </t>
  </si>
  <si>
    <t>RG</t>
  </si>
  <si>
    <t>Жемчуг</t>
  </si>
  <si>
    <t>PPL</t>
  </si>
  <si>
    <t>RG-002</t>
  </si>
  <si>
    <t>Серьги</t>
  </si>
  <si>
    <t>ER</t>
  </si>
  <si>
    <t>Аметист</t>
  </si>
  <si>
    <t>AMT</t>
  </si>
  <si>
    <t>RG-003-CRL</t>
  </si>
  <si>
    <t>Браслеты</t>
  </si>
  <si>
    <t>BR</t>
  </si>
  <si>
    <t>Бирюза</t>
  </si>
  <si>
    <t>TRQ</t>
  </si>
  <si>
    <t>RG-004</t>
  </si>
  <si>
    <t>Ножные браслеты</t>
  </si>
  <si>
    <t>FBR</t>
  </si>
  <si>
    <t>Топаз</t>
  </si>
  <si>
    <t>TPZ</t>
  </si>
  <si>
    <t>RG-005-CRL</t>
  </si>
  <si>
    <t>Цепочка</t>
  </si>
  <si>
    <t>CH</t>
  </si>
  <si>
    <t>Корал</t>
  </si>
  <si>
    <t>CRL</t>
  </si>
  <si>
    <t>RG-006-CRL</t>
  </si>
  <si>
    <t>Кулон</t>
  </si>
  <si>
    <t>PN</t>
  </si>
  <si>
    <t>Изумруд</t>
  </si>
  <si>
    <t>EMD</t>
  </si>
  <si>
    <t>RG-007</t>
  </si>
  <si>
    <t>Кварц</t>
  </si>
  <si>
    <t>QRT</t>
  </si>
  <si>
    <t>RG-008</t>
  </si>
  <si>
    <t>Рубин</t>
  </si>
  <si>
    <t>RBY</t>
  </si>
  <si>
    <t>RG-009-QRT-PK</t>
  </si>
  <si>
    <t>Янтарь</t>
  </si>
  <si>
    <t>AMB</t>
  </si>
  <si>
    <t>RG-010-QRT-PK</t>
  </si>
  <si>
    <t>RG-011</t>
  </si>
  <si>
    <t>RG-012</t>
  </si>
  <si>
    <t>RG-013</t>
  </si>
  <si>
    <t>RG-014</t>
  </si>
  <si>
    <t>RG-015</t>
  </si>
  <si>
    <t>ER-001</t>
  </si>
  <si>
    <t>ER-002-AMB</t>
  </si>
  <si>
    <t>RG-016</t>
  </si>
  <si>
    <t>RG-017</t>
  </si>
  <si>
    <t>RG-018</t>
  </si>
  <si>
    <t>RG-019</t>
  </si>
  <si>
    <t>ER-003</t>
  </si>
  <si>
    <t>ER-004</t>
  </si>
  <si>
    <t>ER-005</t>
  </si>
  <si>
    <t>ER-006</t>
  </si>
  <si>
    <t>ER-007</t>
  </si>
  <si>
    <t>ER-008</t>
  </si>
  <si>
    <t>ER-009</t>
  </si>
  <si>
    <t>ER-010</t>
  </si>
  <si>
    <t>ER-011</t>
  </si>
  <si>
    <t>ER-012</t>
  </si>
  <si>
    <t>ER-013</t>
  </si>
  <si>
    <t>ER-014</t>
  </si>
  <si>
    <t>ER-015</t>
  </si>
  <si>
    <t>ER-016</t>
  </si>
  <si>
    <t>ER-017-TPZ-BL</t>
  </si>
  <si>
    <t>ER-018</t>
  </si>
  <si>
    <t>ER-019</t>
  </si>
  <si>
    <t>ER-020</t>
  </si>
  <si>
    <t>ER-021</t>
  </si>
  <si>
    <t>ER-022</t>
  </si>
  <si>
    <t>ER-023</t>
  </si>
  <si>
    <t>ER-024</t>
  </si>
  <si>
    <t>ER-025</t>
  </si>
  <si>
    <t>ER-026</t>
  </si>
  <si>
    <t>ER-027</t>
  </si>
  <si>
    <t>ER-028-AMT</t>
  </si>
  <si>
    <t>ER-029</t>
  </si>
  <si>
    <t>ER-030</t>
  </si>
  <si>
    <t>ER-031</t>
  </si>
  <si>
    <t>ER-032-PPL</t>
  </si>
  <si>
    <t>ER-033</t>
  </si>
  <si>
    <t>ER-034</t>
  </si>
  <si>
    <t>ER-035</t>
  </si>
  <si>
    <t>ER-036</t>
  </si>
  <si>
    <t>ER-037</t>
  </si>
  <si>
    <t>ER-038</t>
  </si>
  <si>
    <t>ER-039</t>
  </si>
  <si>
    <t>ER-040</t>
  </si>
  <si>
    <t>ER-041</t>
  </si>
  <si>
    <t>ER-042</t>
  </si>
  <si>
    <t>ER-043</t>
  </si>
  <si>
    <t>ER-044</t>
  </si>
  <si>
    <t>ER-045</t>
  </si>
  <si>
    <t>ER-046</t>
  </si>
  <si>
    <t>ER-047</t>
  </si>
  <si>
    <t>ER-048</t>
  </si>
  <si>
    <t>ER-049</t>
  </si>
  <si>
    <t>ER-050</t>
  </si>
  <si>
    <t>ER-051</t>
  </si>
  <si>
    <t>ER-052</t>
  </si>
  <si>
    <t>ER-053</t>
  </si>
  <si>
    <t>ER-054</t>
  </si>
  <si>
    <t>ER-055</t>
  </si>
  <si>
    <t>ER-056</t>
  </si>
  <si>
    <t>ER-057</t>
  </si>
  <si>
    <t>ER-058</t>
  </si>
  <si>
    <t>ER-059</t>
  </si>
  <si>
    <t>ER-060</t>
  </si>
  <si>
    <t>ER-061</t>
  </si>
  <si>
    <t>ER-062</t>
  </si>
  <si>
    <t>ER-063</t>
  </si>
  <si>
    <t>ER-064</t>
  </si>
  <si>
    <t>ER-065</t>
  </si>
  <si>
    <t>ER-066</t>
  </si>
  <si>
    <t>ER-067</t>
  </si>
  <si>
    <t>ER-068</t>
  </si>
  <si>
    <t>ER-069</t>
  </si>
  <si>
    <t>ER-070</t>
  </si>
  <si>
    <t>ER-071</t>
  </si>
  <si>
    <t>ER-072</t>
  </si>
  <si>
    <t>ER-073</t>
  </si>
  <si>
    <t>ER-074</t>
  </si>
  <si>
    <t>ER-075</t>
  </si>
  <si>
    <t>ER-076</t>
  </si>
  <si>
    <t>ER-077</t>
  </si>
  <si>
    <t>ER-078</t>
  </si>
  <si>
    <t>ER-079</t>
  </si>
  <si>
    <t>ER-080</t>
  </si>
  <si>
    <t>ER-081</t>
  </si>
  <si>
    <t>ER-082</t>
  </si>
  <si>
    <t>ER-083</t>
  </si>
  <si>
    <t>ER-084</t>
  </si>
  <si>
    <t>ER-085</t>
  </si>
  <si>
    <t>ER-086</t>
  </si>
  <si>
    <t>ER-087</t>
  </si>
  <si>
    <t>ER-088</t>
  </si>
  <si>
    <t>ER-089</t>
  </si>
  <si>
    <t>ER-090</t>
  </si>
  <si>
    <t>ER-091</t>
  </si>
  <si>
    <t>ER-092</t>
  </si>
  <si>
    <t>ER-093</t>
  </si>
  <si>
    <t>ER-094</t>
  </si>
  <si>
    <t>ER-095</t>
  </si>
  <si>
    <t>ER-096</t>
  </si>
  <si>
    <t>ER-118</t>
  </si>
  <si>
    <t>ER-119</t>
  </si>
  <si>
    <t>ER-120</t>
  </si>
  <si>
    <t xml:space="preserve">Ожерелье </t>
  </si>
  <si>
    <t>NC</t>
  </si>
  <si>
    <t>NC-001</t>
  </si>
  <si>
    <t>NC-002</t>
  </si>
  <si>
    <t>NC-003</t>
  </si>
  <si>
    <t>NC-004</t>
  </si>
  <si>
    <t>NC-005</t>
  </si>
  <si>
    <t>NC-006</t>
  </si>
  <si>
    <t>NC-007</t>
  </si>
  <si>
    <t>NC-008</t>
  </si>
  <si>
    <t>NC-009</t>
  </si>
  <si>
    <t>NC-010</t>
  </si>
  <si>
    <t>NC-011</t>
  </si>
  <si>
    <t>NC-012</t>
  </si>
  <si>
    <t>NC-013</t>
  </si>
  <si>
    <t>ST-001</t>
  </si>
  <si>
    <t>ST-002</t>
  </si>
  <si>
    <t>ST-003</t>
  </si>
  <si>
    <t>ST-004</t>
  </si>
  <si>
    <t>ST-005</t>
  </si>
  <si>
    <t>ST-006</t>
  </si>
  <si>
    <t>ST-007</t>
  </si>
  <si>
    <t>ST-008</t>
  </si>
  <si>
    <t>ER-PN-001</t>
  </si>
  <si>
    <t>BR-001</t>
  </si>
  <si>
    <t>BR-002</t>
  </si>
  <si>
    <t>BR-003</t>
  </si>
  <si>
    <t>BR-004</t>
  </si>
  <si>
    <t>BR-005</t>
  </si>
  <si>
    <t>BR-006</t>
  </si>
  <si>
    <t>BR-007</t>
  </si>
  <si>
    <t>BR-008</t>
  </si>
  <si>
    <t>BR-009</t>
  </si>
  <si>
    <t>BR-010</t>
  </si>
  <si>
    <t>BR-011</t>
  </si>
  <si>
    <t>BR-012</t>
  </si>
  <si>
    <t>BR-013</t>
  </si>
  <si>
    <t>BR-014</t>
  </si>
  <si>
    <t>BR-015</t>
  </si>
  <si>
    <t>BR-016</t>
  </si>
  <si>
    <t>BR-017</t>
  </si>
  <si>
    <t>BR-018</t>
  </si>
  <si>
    <t>PN-001</t>
  </si>
  <si>
    <t>PN-002</t>
  </si>
  <si>
    <t>PN-003</t>
  </si>
  <si>
    <t>ST-009</t>
  </si>
  <si>
    <t>RG-020</t>
  </si>
  <si>
    <t>RG-021</t>
  </si>
  <si>
    <t>BR-019</t>
  </si>
  <si>
    <t>ER-097</t>
  </si>
  <si>
    <t>ER-098</t>
  </si>
  <si>
    <t>Количество</t>
  </si>
  <si>
    <t>Продано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</si>
</sst>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5" x14ac:knownFonts="1">
    <font>
      <sz val="11"/>
      <name val="Calibri"/>
      <scheme val="minor"/>
    </font>
    <font>
      <sz val="11"/>
      <name val="Calibri"/>
    </font>
    <font>
      <sz val="8"/>
      <name val="Calibri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0" fillId="0" borderId="0" xfId="0" applyFont="1" applyBorder="1" applyAlignment="1"/>
    <xf numFmtId="0" fontId="0" fillId="3" borderId="0" xfId="0" applyFont="1" applyFill="1" applyBorder="1" applyAlignment="1"/>
    <xf numFmtId="0" fontId="1" fillId="0" borderId="0" xfId="0" applyFont="1" applyBorder="1" applyAlignment="1"/>
    <xf numFmtId="0" fontId="0" fillId="2" borderId="0" xfId="0" applyFont="1" applyFill="1" applyBorder="1" applyAlignment="1"/>
    <xf numFmtId="0" fontId="1" fillId="2" borderId="0" xfId="0" applyFont="1" applyFill="1" applyBorder="1" applyAlignment="1"/>
    <xf numFmtId="0" fontId="0" fillId="0" borderId="0" xfId="0" applyFont="1" applyFill="1" applyBorder="1" applyAlignment="1"/>
    <xf numFmtId="0" fontId="1" fillId="4" borderId="0" xfId="0" applyFont="1" applyFill="1" applyBorder="1" applyAlignment="1"/>
    <xf numFmtId="0" fontId="0" fillId="4" borderId="0" xfId="0" applyFont="1" applyFill="1" applyBorder="1" applyAlignment="1"/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1" fontId="0" fillId="0" borderId="0" xfId="0" applyNumberFormat="1" applyFont="1" applyBorder="1" applyAlignment="1"/>
    <xf numFmtId="1" fontId="0" fillId="3" borderId="0" xfId="0" applyNumberFormat="1" applyFont="1" applyFill="1" applyBorder="1" applyAlignment="1"/>
    <xf numFmtId="1" fontId="0" fillId="4" borderId="0" xfId="0" applyNumberFormat="1" applyFont="1" applyFill="1" applyBorder="1" applyAlignment="1"/>
    <xf numFmtId="164" fontId="0" fillId="0" borderId="0" xfId="0" applyNumberFormat="1" applyFont="1" applyBorder="1" applyAlignment="1"/>
    <xf numFmtId="164" fontId="0" fillId="3" borderId="0" xfId="0" applyNumberFormat="1" applyFont="1" applyFill="1" applyBorder="1" applyAlignment="1"/>
    <xf numFmtId="164" fontId="0" fillId="4" borderId="0" xfId="0" applyNumberFormat="1" applyFont="1" applyFill="1" applyBorder="1" applyAlignment="1"/>
    <xf numFmtId="1" fontId="1" fillId="0" borderId="0" xfId="0" applyNumberFormat="1" applyFont="1" applyBorder="1" applyAlignment="1"/>
    <xf numFmtId="164" fontId="0" fillId="0" borderId="0" xfId="0" applyNumberFormat="1" applyFont="1" applyBorder="1" applyAlignment="1">
      <alignment wrapText="1"/>
    </xf>
    <xf numFmtId="0" fontId="4" fillId="0" borderId="0" xfId="0" applyFont="1" applyBorder="1" applyAlignment="1"/>
    <xf numFmtId="0" fontId="1" fillId="0" borderId="0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3"/>
  <sheetViews>
    <sheetView tabSelected="1" zoomScaleNormal="100" workbookViewId="0">
      <selection activeCell="L2" sqref="L2:L170"/>
    </sheetView>
  </sheetViews>
  <sheetFormatPr defaultColWidth="14.42578125" defaultRowHeight="15" customHeight="1" x14ac:dyDescent="0.25"/>
  <cols>
    <col min="1" max="1" width="20.5703125" style="1" customWidth="1"/>
    <col min="2" max="2" width="8.7109375" style="1" customWidth="1"/>
    <col min="3" max="3" width="19.42578125" style="1" customWidth="1"/>
    <col min="4" max="4" width="13.7109375" style="11" customWidth="1"/>
    <col min="5" max="5" width="19.7109375" style="14" customWidth="1"/>
    <col min="6" max="6" width="22" style="11" customWidth="1"/>
    <col min="7" max="7" width="14" style="1" customWidth="1"/>
    <col min="8" max="8" width="19.42578125" style="1" customWidth="1"/>
    <col min="9" max="9" width="16.140625" style="1" customWidth="1"/>
    <col min="10" max="10" width="8.7109375" style="1" customWidth="1"/>
    <col min="11" max="11" width="34" style="14" customWidth="1"/>
    <col min="12" max="13" width="8.7109375" style="1" customWidth="1"/>
    <col min="14" max="16384" width="14.42578125" style="1"/>
  </cols>
  <sheetData>
    <row r="1" spans="1:28" ht="14.25" customHeight="1" x14ac:dyDescent="0.25">
      <c r="A1" s="1" t="s">
        <v>0</v>
      </c>
      <c r="B1" s="1" t="s">
        <v>1</v>
      </c>
      <c r="C1" s="1" t="s">
        <v>2</v>
      </c>
      <c r="D1" s="11" t="s">
        <v>3</v>
      </c>
      <c r="E1" s="14" t="s">
        <v>4</v>
      </c>
      <c r="F1" s="11" t="s">
        <v>5</v>
      </c>
      <c r="G1" s="1" t="s">
        <v>207</v>
      </c>
      <c r="H1" s="1" t="s">
        <v>208</v>
      </c>
    </row>
    <row r="2" spans="1:28" ht="59.25" customHeight="1" x14ac:dyDescent="0.25">
      <c r="A2" s="4" t="s">
        <v>6</v>
      </c>
      <c r="B2" s="1">
        <v>3.3</v>
      </c>
      <c r="D2" s="11">
        <v>235</v>
      </c>
      <c r="E2" s="14">
        <f t="shared" ref="E2:E159" si="0">D2*2.6</f>
        <v>611</v>
      </c>
      <c r="F2" s="11">
        <f t="shared" ref="F2:F159" si="1">E2*3.5</f>
        <v>2138.5</v>
      </c>
      <c r="G2" s="1">
        <v>1</v>
      </c>
      <c r="I2" s="1">
        <v>2100</v>
      </c>
      <c r="K2" s="18" t="str">
        <f>I2&amp;" руб
"&amp;A2&amp;"
"&amp;B2&amp;"/" &amp;IF(OR(C2="",C2=1),D2,C2)&amp;"/"&amp;D2&amp;"
"&amp;E2</f>
        <v>2100 руб
RG-001-TPZ-BL
3,3/235/235
611</v>
      </c>
      <c r="L2" s="14">
        <f>E2*G2-E2*H2</f>
        <v>611</v>
      </c>
    </row>
    <row r="3" spans="1:28" ht="59.25" customHeight="1" x14ac:dyDescent="0.25">
      <c r="A3" s="4" t="s">
        <v>7</v>
      </c>
      <c r="B3" s="1">
        <v>3.46</v>
      </c>
      <c r="D3" s="11">
        <v>235</v>
      </c>
      <c r="E3" s="14">
        <f t="shared" si="0"/>
        <v>611</v>
      </c>
      <c r="F3" s="11">
        <f t="shared" si="1"/>
        <v>2138.5</v>
      </c>
      <c r="G3" s="1">
        <v>1</v>
      </c>
      <c r="I3" s="1">
        <v>2100</v>
      </c>
      <c r="K3" s="18" t="str">
        <f t="shared" ref="K3:K11" si="2">I3&amp;" руб
"&amp;A3&amp;"
"&amp;B3&amp;"/" &amp;IF(OR(C3="",C3=1),D3,C3)&amp;"/"&amp;D3&amp;"
"&amp;E3</f>
        <v>2100 руб
RG-001-EMD
3,46/235/235
611</v>
      </c>
      <c r="L3" s="14">
        <f t="shared" ref="L3:L66" si="3">E3*G3-E3*H3</f>
        <v>611</v>
      </c>
    </row>
    <row r="4" spans="1:28" ht="59.25" customHeight="1" x14ac:dyDescent="0.25">
      <c r="A4" s="4" t="s">
        <v>8</v>
      </c>
      <c r="B4" s="1">
        <v>2.82</v>
      </c>
      <c r="D4" s="11">
        <v>235</v>
      </c>
      <c r="E4" s="14">
        <f t="shared" si="0"/>
        <v>611</v>
      </c>
      <c r="F4" s="11">
        <f t="shared" si="1"/>
        <v>2138.5</v>
      </c>
      <c r="G4" s="1">
        <v>1</v>
      </c>
      <c r="I4" s="1">
        <v>2100</v>
      </c>
      <c r="K4" s="18" t="str">
        <f t="shared" si="2"/>
        <v>2100 руб
RG-001-CRL
2,82/235/235
611</v>
      </c>
      <c r="L4" s="14">
        <f t="shared" si="3"/>
        <v>611</v>
      </c>
      <c r="X4" s="1" t="s">
        <v>9</v>
      </c>
      <c r="Y4" s="1" t="s">
        <v>10</v>
      </c>
      <c r="AA4" s="1" t="s">
        <v>11</v>
      </c>
      <c r="AB4" s="1" t="s">
        <v>12</v>
      </c>
    </row>
    <row r="5" spans="1:28" ht="59.25" customHeight="1" x14ac:dyDescent="0.25">
      <c r="A5" s="4" t="s">
        <v>13</v>
      </c>
      <c r="B5" s="1">
        <v>4.28</v>
      </c>
      <c r="C5" s="1">
        <v>75</v>
      </c>
      <c r="D5" s="11">
        <f t="shared" ref="D5:D18" si="4">C5*B5</f>
        <v>321</v>
      </c>
      <c r="E5" s="14">
        <f t="shared" si="0"/>
        <v>834.6</v>
      </c>
      <c r="F5" s="11">
        <f t="shared" si="1"/>
        <v>2921.1</v>
      </c>
      <c r="G5" s="6">
        <v>1</v>
      </c>
      <c r="I5" s="6">
        <v>2900</v>
      </c>
      <c r="K5" s="18" t="str">
        <f t="shared" si="2"/>
        <v>2900 руб
RG-002
4,28/75/321
834,6</v>
      </c>
      <c r="L5" s="14">
        <f t="shared" si="3"/>
        <v>834.6</v>
      </c>
      <c r="X5" s="1" t="s">
        <v>14</v>
      </c>
      <c r="Y5" s="1" t="s">
        <v>15</v>
      </c>
      <c r="AA5" s="1" t="s">
        <v>16</v>
      </c>
      <c r="AB5" s="1" t="s">
        <v>17</v>
      </c>
    </row>
    <row r="6" spans="1:28" ht="59.25" customHeight="1" x14ac:dyDescent="0.25">
      <c r="A6" s="4" t="s">
        <v>18</v>
      </c>
      <c r="B6" s="1">
        <v>3.52</v>
      </c>
      <c r="C6" s="1">
        <v>75</v>
      </c>
      <c r="D6" s="11">
        <f t="shared" si="4"/>
        <v>264</v>
      </c>
      <c r="E6" s="14">
        <f t="shared" si="0"/>
        <v>686.4</v>
      </c>
      <c r="F6" s="11">
        <f t="shared" si="1"/>
        <v>2402.4</v>
      </c>
      <c r="I6" s="6">
        <v>2400</v>
      </c>
      <c r="K6" s="18" t="str">
        <f t="shared" si="2"/>
        <v>2400 руб
RG-003-CRL
3,52/75/264
686,4</v>
      </c>
      <c r="L6" s="14">
        <f t="shared" si="3"/>
        <v>0</v>
      </c>
      <c r="X6" s="1" t="s">
        <v>19</v>
      </c>
      <c r="Y6" s="1" t="s">
        <v>20</v>
      </c>
      <c r="AA6" s="1" t="s">
        <v>21</v>
      </c>
      <c r="AB6" s="1" t="s">
        <v>22</v>
      </c>
    </row>
    <row r="7" spans="1:28" ht="59.25" customHeight="1" x14ac:dyDescent="0.25">
      <c r="A7" s="4" t="s">
        <v>23</v>
      </c>
      <c r="B7" s="1">
        <v>5.05</v>
      </c>
      <c r="C7" s="1">
        <v>38</v>
      </c>
      <c r="D7" s="11">
        <f t="shared" si="4"/>
        <v>191.9</v>
      </c>
      <c r="E7" s="14">
        <f t="shared" si="0"/>
        <v>498.94000000000005</v>
      </c>
      <c r="F7" s="11">
        <f t="shared" si="1"/>
        <v>1746.2900000000002</v>
      </c>
      <c r="G7" s="3">
        <v>2</v>
      </c>
      <c r="I7" s="6">
        <v>1750</v>
      </c>
      <c r="K7" s="18" t="str">
        <f t="shared" si="2"/>
        <v>1750 руб
RG-004
5,05/38/191,9
498,94</v>
      </c>
      <c r="L7" s="14">
        <f t="shared" si="3"/>
        <v>997.88000000000011</v>
      </c>
      <c r="X7" s="1" t="s">
        <v>24</v>
      </c>
      <c r="Y7" s="1" t="s">
        <v>25</v>
      </c>
      <c r="AA7" s="1" t="s">
        <v>26</v>
      </c>
      <c r="AB7" s="1" t="s">
        <v>27</v>
      </c>
    </row>
    <row r="8" spans="1:28" ht="59.25" customHeight="1" x14ac:dyDescent="0.25">
      <c r="A8" s="4" t="s">
        <v>28</v>
      </c>
      <c r="B8" s="1">
        <v>4.91</v>
      </c>
      <c r="C8" s="1">
        <v>75</v>
      </c>
      <c r="D8" s="11">
        <f t="shared" si="4"/>
        <v>368.25</v>
      </c>
      <c r="E8" s="14">
        <f t="shared" si="0"/>
        <v>957.45</v>
      </c>
      <c r="F8" s="11">
        <f t="shared" si="1"/>
        <v>3351.0750000000003</v>
      </c>
      <c r="G8" s="20">
        <v>1</v>
      </c>
      <c r="I8" s="6">
        <v>3400</v>
      </c>
      <c r="K8" s="18" t="str">
        <f t="shared" si="2"/>
        <v>3400 руб
RG-005-CRL
4,91/75/368,25
957,45</v>
      </c>
      <c r="L8" s="14">
        <f t="shared" si="3"/>
        <v>957.45</v>
      </c>
      <c r="X8" s="1" t="s">
        <v>29</v>
      </c>
      <c r="Y8" s="1" t="s">
        <v>30</v>
      </c>
      <c r="AA8" s="1" t="s">
        <v>31</v>
      </c>
      <c r="AB8" s="1" t="s">
        <v>32</v>
      </c>
    </row>
    <row r="9" spans="1:28" ht="59.25" customHeight="1" x14ac:dyDescent="0.25">
      <c r="A9" s="4" t="s">
        <v>33</v>
      </c>
      <c r="B9" s="1">
        <v>2.48</v>
      </c>
      <c r="C9" s="1">
        <v>75</v>
      </c>
      <c r="D9" s="11">
        <f t="shared" si="4"/>
        <v>186</v>
      </c>
      <c r="E9" s="14">
        <f t="shared" si="0"/>
        <v>483.6</v>
      </c>
      <c r="F9" s="11">
        <f t="shared" si="1"/>
        <v>1692.6000000000001</v>
      </c>
      <c r="G9" s="20">
        <v>1</v>
      </c>
      <c r="I9" s="6">
        <v>1700</v>
      </c>
      <c r="K9" s="18" t="str">
        <f t="shared" si="2"/>
        <v>1700 руб
RG-006-CRL
2,48/75/186
483,6</v>
      </c>
      <c r="L9" s="14">
        <f t="shared" si="3"/>
        <v>483.6</v>
      </c>
      <c r="X9" s="1" t="s">
        <v>34</v>
      </c>
      <c r="Y9" s="1" t="s">
        <v>35</v>
      </c>
      <c r="AA9" s="1" t="s">
        <v>36</v>
      </c>
      <c r="AB9" s="1" t="s">
        <v>37</v>
      </c>
    </row>
    <row r="10" spans="1:28" ht="59.25" customHeight="1" x14ac:dyDescent="0.25">
      <c r="A10" s="4" t="s">
        <v>38</v>
      </c>
      <c r="B10" s="1">
        <v>5.68</v>
      </c>
      <c r="C10" s="1">
        <v>38</v>
      </c>
      <c r="D10" s="11">
        <f t="shared" si="4"/>
        <v>215.83999999999997</v>
      </c>
      <c r="E10" s="14">
        <f t="shared" si="0"/>
        <v>561.18399999999997</v>
      </c>
      <c r="F10" s="11">
        <f t="shared" si="1"/>
        <v>1964.1439999999998</v>
      </c>
      <c r="G10" s="20">
        <v>1</v>
      </c>
      <c r="I10" s="6">
        <v>2000</v>
      </c>
      <c r="K10" s="18" t="str">
        <f t="shared" si="2"/>
        <v>2000 руб
RG-007
5,68/38/215,84
561,184</v>
      </c>
      <c r="L10" s="14">
        <f t="shared" si="3"/>
        <v>561.18399999999997</v>
      </c>
      <c r="X10" s="1" t="s">
        <v>156</v>
      </c>
      <c r="Y10" s="1" t="s">
        <v>157</v>
      </c>
      <c r="AA10" s="1" t="s">
        <v>39</v>
      </c>
      <c r="AB10" s="1" t="s">
        <v>40</v>
      </c>
    </row>
    <row r="11" spans="1:28" ht="59.25" customHeight="1" x14ac:dyDescent="0.25">
      <c r="A11" s="4" t="s">
        <v>41</v>
      </c>
      <c r="B11" s="1">
        <v>7.6</v>
      </c>
      <c r="C11" s="1">
        <v>38</v>
      </c>
      <c r="D11" s="11">
        <f t="shared" si="4"/>
        <v>288.8</v>
      </c>
      <c r="E11" s="14">
        <f t="shared" si="0"/>
        <v>750.88000000000011</v>
      </c>
      <c r="F11" s="11">
        <f t="shared" si="1"/>
        <v>2628.0800000000004</v>
      </c>
      <c r="G11" s="20">
        <v>1</v>
      </c>
      <c r="I11" s="6">
        <v>2600</v>
      </c>
      <c r="K11" s="18" t="str">
        <f t="shared" si="2"/>
        <v>2600 руб
RG-008
7,6/38/288,8
750,88</v>
      </c>
      <c r="L11" s="14">
        <f t="shared" si="3"/>
        <v>750.88000000000011</v>
      </c>
      <c r="AA11" s="1" t="s">
        <v>42</v>
      </c>
      <c r="AB11" s="1" t="s">
        <v>43</v>
      </c>
    </row>
    <row r="12" spans="1:28" ht="59.25" customHeight="1" x14ac:dyDescent="0.25">
      <c r="A12" s="4" t="s">
        <v>44</v>
      </c>
      <c r="B12" s="1">
        <v>3.12</v>
      </c>
      <c r="C12" s="1">
        <v>75</v>
      </c>
      <c r="D12" s="11">
        <f t="shared" si="4"/>
        <v>234</v>
      </c>
      <c r="E12" s="14">
        <f t="shared" si="0"/>
        <v>608.4</v>
      </c>
      <c r="F12" s="11">
        <f t="shared" si="1"/>
        <v>2129.4</v>
      </c>
      <c r="G12" s="20">
        <v>1</v>
      </c>
      <c r="I12" s="6">
        <v>2100</v>
      </c>
      <c r="K12" s="18" t="str">
        <f t="shared" ref="K12:K66" si="5">I12&amp;" руб
"&amp;A12&amp;"
"&amp;B12&amp;"/" &amp;IF(OR(C12="",C12=1),D12,C12)&amp;"/"&amp;D12&amp;"
"&amp;E12</f>
        <v>2100 руб
RG-009-QRT-PK
3,12/75/234
608,4</v>
      </c>
      <c r="L12" s="14">
        <f t="shared" si="3"/>
        <v>608.4</v>
      </c>
      <c r="AA12" s="1" t="s">
        <v>45</v>
      </c>
      <c r="AB12" s="1" t="s">
        <v>46</v>
      </c>
    </row>
    <row r="13" spans="1:28" ht="59.25" customHeight="1" x14ac:dyDescent="0.25">
      <c r="A13" s="4" t="s">
        <v>47</v>
      </c>
      <c r="B13" s="1">
        <v>3.52</v>
      </c>
      <c r="C13" s="1">
        <v>75</v>
      </c>
      <c r="D13" s="11">
        <f t="shared" si="4"/>
        <v>264</v>
      </c>
      <c r="E13" s="14">
        <f t="shared" si="0"/>
        <v>686.4</v>
      </c>
      <c r="F13" s="11">
        <f t="shared" si="1"/>
        <v>2402.4</v>
      </c>
      <c r="G13" s="20">
        <v>1</v>
      </c>
      <c r="I13" s="6">
        <v>2400</v>
      </c>
      <c r="K13" s="18" t="str">
        <f t="shared" si="5"/>
        <v>2400 руб
RG-010-QRT-PK
3,52/75/264
686,4</v>
      </c>
      <c r="L13" s="14">
        <f t="shared" si="3"/>
        <v>686.4</v>
      </c>
    </row>
    <row r="14" spans="1:28" ht="59.25" customHeight="1" x14ac:dyDescent="0.25">
      <c r="A14" s="4" t="s">
        <v>48</v>
      </c>
      <c r="B14" s="1">
        <v>3.44</v>
      </c>
      <c r="C14" s="1">
        <v>47</v>
      </c>
      <c r="D14" s="11">
        <f t="shared" si="4"/>
        <v>161.68</v>
      </c>
      <c r="E14" s="14">
        <f t="shared" si="0"/>
        <v>420.36800000000005</v>
      </c>
      <c r="F14" s="11">
        <f t="shared" si="1"/>
        <v>1471.2880000000002</v>
      </c>
      <c r="G14" s="20">
        <v>1</v>
      </c>
      <c r="I14" s="6">
        <v>1500</v>
      </c>
      <c r="K14" s="18" t="str">
        <f t="shared" si="5"/>
        <v>1500 руб
RG-011
3,44/47/161,68
420,368</v>
      </c>
      <c r="L14" s="14">
        <f t="shared" si="3"/>
        <v>420.36800000000005</v>
      </c>
    </row>
    <row r="15" spans="1:28" ht="59.25" customHeight="1" x14ac:dyDescent="0.25">
      <c r="A15" s="4" t="s">
        <v>49</v>
      </c>
      <c r="B15" s="1">
        <v>11.47</v>
      </c>
      <c r="C15" s="1">
        <v>39</v>
      </c>
      <c r="D15" s="11">
        <f t="shared" si="4"/>
        <v>447.33000000000004</v>
      </c>
      <c r="E15" s="14">
        <f t="shared" si="0"/>
        <v>1163.0580000000002</v>
      </c>
      <c r="F15" s="11">
        <f t="shared" si="1"/>
        <v>4070.7030000000009</v>
      </c>
      <c r="G15" s="20">
        <v>1</v>
      </c>
      <c r="I15" s="6">
        <v>4100</v>
      </c>
      <c r="K15" s="18" t="str">
        <f t="shared" si="5"/>
        <v>4100 руб
RG-012
11,47/39/447,33
1163,058</v>
      </c>
      <c r="L15" s="14">
        <f t="shared" si="3"/>
        <v>1163.0580000000002</v>
      </c>
    </row>
    <row r="16" spans="1:28" ht="59.25" customHeight="1" x14ac:dyDescent="0.25">
      <c r="A16" s="4" t="s">
        <v>50</v>
      </c>
      <c r="B16" s="1">
        <v>1.52</v>
      </c>
      <c r="C16" s="1">
        <v>75</v>
      </c>
      <c r="D16" s="11">
        <f t="shared" si="4"/>
        <v>114</v>
      </c>
      <c r="E16" s="14">
        <f t="shared" si="0"/>
        <v>296.40000000000003</v>
      </c>
      <c r="F16" s="11">
        <f t="shared" si="1"/>
        <v>1037.4000000000001</v>
      </c>
      <c r="G16" s="1">
        <v>2</v>
      </c>
      <c r="I16" s="6">
        <v>1050</v>
      </c>
      <c r="K16" s="18" t="str">
        <f t="shared" si="5"/>
        <v>1050 руб
RG-013
1,52/75/114
296,4</v>
      </c>
      <c r="L16" s="14">
        <f t="shared" si="3"/>
        <v>592.80000000000007</v>
      </c>
    </row>
    <row r="17" spans="1:12" ht="59.25" customHeight="1" x14ac:dyDescent="0.25">
      <c r="A17" s="4" t="s">
        <v>51</v>
      </c>
      <c r="B17" s="1">
        <v>3.44</v>
      </c>
      <c r="C17" s="1">
        <v>47</v>
      </c>
      <c r="D17" s="11">
        <f t="shared" si="4"/>
        <v>161.68</v>
      </c>
      <c r="E17" s="14">
        <f t="shared" si="0"/>
        <v>420.36800000000005</v>
      </c>
      <c r="F17" s="11">
        <f t="shared" si="1"/>
        <v>1471.2880000000002</v>
      </c>
      <c r="G17" s="6">
        <v>1</v>
      </c>
      <c r="I17" s="6">
        <v>1500</v>
      </c>
      <c r="K17" s="18" t="str">
        <f t="shared" si="5"/>
        <v>1500 руб
RG-014
3,44/47/161,68
420,368</v>
      </c>
      <c r="L17" s="14">
        <f t="shared" si="3"/>
        <v>420.36800000000005</v>
      </c>
    </row>
    <row r="18" spans="1:12" ht="59.25" customHeight="1" x14ac:dyDescent="0.25">
      <c r="A18" s="4" t="s">
        <v>52</v>
      </c>
      <c r="B18" s="1">
        <v>4.1900000000000004</v>
      </c>
      <c r="C18" s="1">
        <v>47</v>
      </c>
      <c r="D18" s="11">
        <f t="shared" si="4"/>
        <v>196.93</v>
      </c>
      <c r="E18" s="14">
        <f t="shared" si="0"/>
        <v>512.01800000000003</v>
      </c>
      <c r="F18" s="11">
        <f t="shared" si="1"/>
        <v>1792.0630000000001</v>
      </c>
      <c r="G18" s="6">
        <v>1</v>
      </c>
      <c r="I18" s="6">
        <v>1800</v>
      </c>
      <c r="K18" s="18" t="str">
        <f t="shared" si="5"/>
        <v>1800 руб
RG-015
4,19/47/196,93
512,018</v>
      </c>
      <c r="L18" s="14">
        <f t="shared" si="3"/>
        <v>512.01800000000003</v>
      </c>
    </row>
    <row r="19" spans="1:12" ht="59.25" customHeight="1" x14ac:dyDescent="0.25">
      <c r="A19" s="4" t="s">
        <v>53</v>
      </c>
      <c r="B19" s="1">
        <v>7.9</v>
      </c>
      <c r="C19" s="1">
        <v>1</v>
      </c>
      <c r="D19" s="11">
        <v>395</v>
      </c>
      <c r="E19" s="14">
        <f t="shared" si="0"/>
        <v>1027</v>
      </c>
      <c r="F19" s="11">
        <f t="shared" si="1"/>
        <v>3594.5</v>
      </c>
      <c r="G19" s="6">
        <v>1</v>
      </c>
      <c r="I19" s="6">
        <v>3600</v>
      </c>
      <c r="K19" s="18" t="str">
        <f t="shared" si="5"/>
        <v>3600 руб
ER-001
7,9/395/395
1027</v>
      </c>
      <c r="L19" s="14">
        <f t="shared" si="3"/>
        <v>1027</v>
      </c>
    </row>
    <row r="20" spans="1:12" ht="59.25" customHeight="1" x14ac:dyDescent="0.25">
      <c r="A20" s="4" t="s">
        <v>54</v>
      </c>
      <c r="B20" s="1">
        <v>3.89</v>
      </c>
      <c r="C20" s="1">
        <v>80</v>
      </c>
      <c r="D20" s="11">
        <f t="shared" ref="D20:D23" si="6">C20*B20</f>
        <v>311.2</v>
      </c>
      <c r="E20" s="14">
        <f t="shared" si="0"/>
        <v>809.12</v>
      </c>
      <c r="F20" s="11">
        <f t="shared" si="1"/>
        <v>2831.92</v>
      </c>
      <c r="G20" s="6">
        <v>1</v>
      </c>
      <c r="I20" s="6">
        <v>2900</v>
      </c>
      <c r="K20" s="18" t="str">
        <f t="shared" si="5"/>
        <v>2900 руб
ER-002-AMB
3,89/80/311,2
809,12</v>
      </c>
      <c r="L20" s="14">
        <f t="shared" si="3"/>
        <v>809.12</v>
      </c>
    </row>
    <row r="21" spans="1:12" ht="59.25" customHeight="1" x14ac:dyDescent="0.25">
      <c r="A21" s="5" t="s">
        <v>55</v>
      </c>
      <c r="B21" s="3">
        <v>0.92</v>
      </c>
      <c r="C21" s="3">
        <v>38</v>
      </c>
      <c r="D21" s="11">
        <f t="shared" si="6"/>
        <v>34.96</v>
      </c>
      <c r="E21" s="14">
        <f t="shared" si="0"/>
        <v>90.896000000000001</v>
      </c>
      <c r="F21" s="11">
        <f t="shared" si="1"/>
        <v>318.13600000000002</v>
      </c>
      <c r="G21" s="3">
        <v>4</v>
      </c>
      <c r="I21" s="6">
        <v>320</v>
      </c>
      <c r="K21" s="18" t="str">
        <f t="shared" si="5"/>
        <v>320 руб
RG-016
0,92/38/34,96
90,896</v>
      </c>
      <c r="L21" s="14">
        <f t="shared" si="3"/>
        <v>363.584</v>
      </c>
    </row>
    <row r="22" spans="1:12" ht="59.25" customHeight="1" x14ac:dyDescent="0.25">
      <c r="A22" s="5" t="s">
        <v>56</v>
      </c>
      <c r="B22" s="3">
        <v>1.34</v>
      </c>
      <c r="C22" s="3">
        <v>38</v>
      </c>
      <c r="D22" s="11">
        <f t="shared" si="6"/>
        <v>50.92</v>
      </c>
      <c r="E22" s="14">
        <f t="shared" si="0"/>
        <v>132.392</v>
      </c>
      <c r="F22" s="11">
        <f t="shared" si="1"/>
        <v>463.37199999999996</v>
      </c>
      <c r="G22" s="20">
        <v>1</v>
      </c>
      <c r="I22" s="6">
        <v>500</v>
      </c>
      <c r="K22" s="18" t="str">
        <f t="shared" si="5"/>
        <v>500 руб
RG-017
1,34/38/50,92
132,392</v>
      </c>
      <c r="L22" s="14">
        <f t="shared" si="3"/>
        <v>132.392</v>
      </c>
    </row>
    <row r="23" spans="1:12" ht="59.25" customHeight="1" x14ac:dyDescent="0.25">
      <c r="A23" s="5" t="s">
        <v>57</v>
      </c>
      <c r="B23" s="3">
        <v>1.95</v>
      </c>
      <c r="C23" s="3">
        <v>75</v>
      </c>
      <c r="D23" s="11">
        <f t="shared" si="6"/>
        <v>146.25</v>
      </c>
      <c r="E23" s="14">
        <f t="shared" si="0"/>
        <v>380.25</v>
      </c>
      <c r="F23" s="11">
        <f t="shared" si="1"/>
        <v>1330.875</v>
      </c>
      <c r="G23" s="1">
        <v>2</v>
      </c>
      <c r="I23" s="6">
        <v>1350</v>
      </c>
      <c r="K23" s="18" t="str">
        <f t="shared" si="5"/>
        <v>1350 руб
RG-018
1,95/75/146,25
380,25</v>
      </c>
      <c r="L23" s="14">
        <f t="shared" si="3"/>
        <v>760.5</v>
      </c>
    </row>
    <row r="24" spans="1:12" ht="59.25" customHeight="1" x14ac:dyDescent="0.25">
      <c r="A24" s="5" t="s">
        <v>58</v>
      </c>
      <c r="B24" s="3">
        <v>5.53</v>
      </c>
      <c r="C24" s="1">
        <v>1</v>
      </c>
      <c r="D24" s="17">
        <v>539</v>
      </c>
      <c r="E24" s="14">
        <f t="shared" si="0"/>
        <v>1401.4</v>
      </c>
      <c r="F24" s="11">
        <f t="shared" si="1"/>
        <v>4904.9000000000005</v>
      </c>
      <c r="G24" s="6">
        <v>1</v>
      </c>
      <c r="I24" s="6">
        <v>5000</v>
      </c>
      <c r="K24" s="18" t="str">
        <f t="shared" si="5"/>
        <v>5000 руб
RG-019
5,53/539/539
1401,4</v>
      </c>
      <c r="L24" s="14">
        <f t="shared" si="3"/>
        <v>1401.4</v>
      </c>
    </row>
    <row r="25" spans="1:12" ht="59.25" customHeight="1" x14ac:dyDescent="0.25">
      <c r="A25" s="5" t="s">
        <v>59</v>
      </c>
      <c r="B25" s="3">
        <v>4.0999999999999996</v>
      </c>
      <c r="C25" s="3">
        <v>46</v>
      </c>
      <c r="D25" s="11">
        <f t="shared" ref="D25:D27" si="7">C25*B25</f>
        <v>188.6</v>
      </c>
      <c r="E25" s="14">
        <f t="shared" si="0"/>
        <v>490.36</v>
      </c>
      <c r="F25" s="11">
        <f t="shared" si="1"/>
        <v>1716.26</v>
      </c>
      <c r="G25" s="6">
        <v>1</v>
      </c>
      <c r="I25" s="6">
        <v>1700</v>
      </c>
      <c r="K25" s="18" t="str">
        <f t="shared" si="5"/>
        <v>1700 руб
ER-003
4,1/46/188,6
490,36</v>
      </c>
      <c r="L25" s="14">
        <f t="shared" si="3"/>
        <v>490.36</v>
      </c>
    </row>
    <row r="26" spans="1:12" ht="59.25" customHeight="1" x14ac:dyDescent="0.25">
      <c r="A26" s="5" t="s">
        <v>60</v>
      </c>
      <c r="B26" s="3">
        <v>2.94</v>
      </c>
      <c r="C26" s="3">
        <v>38</v>
      </c>
      <c r="D26" s="11">
        <f t="shared" si="7"/>
        <v>111.72</v>
      </c>
      <c r="E26" s="14">
        <f t="shared" si="0"/>
        <v>290.47199999999998</v>
      </c>
      <c r="F26" s="11">
        <f t="shared" si="1"/>
        <v>1016.6519999999999</v>
      </c>
      <c r="G26" s="6">
        <v>1</v>
      </c>
      <c r="I26" s="6">
        <v>1100</v>
      </c>
      <c r="K26" s="18" t="str">
        <f t="shared" si="5"/>
        <v>1100 руб
ER-004
2,94/38/111,72
290,472</v>
      </c>
      <c r="L26" s="14">
        <f t="shared" si="3"/>
        <v>290.47199999999998</v>
      </c>
    </row>
    <row r="27" spans="1:12" ht="59.25" customHeight="1" x14ac:dyDescent="0.25">
      <c r="A27" s="5" t="s">
        <v>61</v>
      </c>
      <c r="B27" s="3">
        <v>5.96</v>
      </c>
      <c r="C27" s="3">
        <v>38</v>
      </c>
      <c r="D27" s="11">
        <f t="shared" si="7"/>
        <v>226.48</v>
      </c>
      <c r="E27" s="14">
        <f t="shared" si="0"/>
        <v>588.84799999999996</v>
      </c>
      <c r="F27" s="11">
        <f t="shared" si="1"/>
        <v>2060.9679999999998</v>
      </c>
      <c r="G27" s="6">
        <v>1</v>
      </c>
      <c r="I27" s="6">
        <v>2100</v>
      </c>
      <c r="K27" s="18" t="str">
        <f t="shared" si="5"/>
        <v>2100 руб
ER-005
5,96/38/226,48
588,848</v>
      </c>
      <c r="L27" s="14">
        <f t="shared" si="3"/>
        <v>588.84799999999996</v>
      </c>
    </row>
    <row r="28" spans="1:12" ht="59.25" customHeight="1" x14ac:dyDescent="0.25">
      <c r="A28" s="5" t="s">
        <v>62</v>
      </c>
      <c r="B28" s="3">
        <v>0.6</v>
      </c>
      <c r="C28" s="3">
        <v>32</v>
      </c>
      <c r="D28" s="17">
        <v>32</v>
      </c>
      <c r="E28" s="14">
        <f t="shared" si="0"/>
        <v>83.2</v>
      </c>
      <c r="F28" s="11">
        <f t="shared" si="1"/>
        <v>291.2</v>
      </c>
      <c r="G28" s="3">
        <v>4</v>
      </c>
      <c r="I28" s="6">
        <v>300</v>
      </c>
      <c r="K28" s="18" t="str">
        <f t="shared" si="5"/>
        <v>300 руб
ER-006
0,6/32/32
83,2</v>
      </c>
      <c r="L28" s="14">
        <f t="shared" si="3"/>
        <v>332.8</v>
      </c>
    </row>
    <row r="29" spans="1:12" ht="59.25" customHeight="1" x14ac:dyDescent="0.25">
      <c r="A29" s="5" t="s">
        <v>63</v>
      </c>
      <c r="B29" s="3">
        <v>1.64</v>
      </c>
      <c r="C29" s="3">
        <v>85</v>
      </c>
      <c r="D29" s="11">
        <f t="shared" ref="D29:D38" si="8">C29*B29</f>
        <v>139.4</v>
      </c>
      <c r="E29" s="14">
        <f t="shared" si="0"/>
        <v>362.44000000000005</v>
      </c>
      <c r="F29" s="11">
        <f t="shared" si="1"/>
        <v>1268.5400000000002</v>
      </c>
      <c r="G29" s="20">
        <v>1</v>
      </c>
      <c r="I29" s="6">
        <v>1300</v>
      </c>
      <c r="K29" s="18" t="str">
        <f t="shared" si="5"/>
        <v>1300 руб
ER-007
1,64/85/139,4
362,44</v>
      </c>
      <c r="L29" s="14">
        <f t="shared" si="3"/>
        <v>362.44000000000005</v>
      </c>
    </row>
    <row r="30" spans="1:12" ht="59.25" customHeight="1" x14ac:dyDescent="0.25">
      <c r="A30" s="3" t="s">
        <v>64</v>
      </c>
      <c r="B30" s="3">
        <v>1</v>
      </c>
      <c r="C30" s="3">
        <v>180</v>
      </c>
      <c r="D30" s="11">
        <f t="shared" si="8"/>
        <v>180</v>
      </c>
      <c r="E30" s="14">
        <f t="shared" si="0"/>
        <v>468</v>
      </c>
      <c r="F30" s="11">
        <f t="shared" si="1"/>
        <v>1638</v>
      </c>
      <c r="G30" s="20">
        <v>1</v>
      </c>
      <c r="I30" s="6">
        <v>1700</v>
      </c>
      <c r="K30" s="18" t="str">
        <f t="shared" si="5"/>
        <v>1700 руб
ER-008
1/180/180
468</v>
      </c>
      <c r="L30" s="14">
        <f t="shared" si="3"/>
        <v>468</v>
      </c>
    </row>
    <row r="31" spans="1:12" ht="59.25" customHeight="1" x14ac:dyDescent="0.25">
      <c r="A31" s="9" t="s">
        <v>65</v>
      </c>
      <c r="B31" s="3">
        <v>2.0099999999999998</v>
      </c>
      <c r="C31" s="3">
        <v>74</v>
      </c>
      <c r="D31" s="11">
        <f t="shared" si="8"/>
        <v>148.73999999999998</v>
      </c>
      <c r="E31" s="14">
        <f t="shared" si="0"/>
        <v>386.72399999999999</v>
      </c>
      <c r="F31" s="11">
        <f t="shared" si="1"/>
        <v>1353.5339999999999</v>
      </c>
      <c r="G31" s="3">
        <v>3</v>
      </c>
      <c r="I31" s="6">
        <v>1400</v>
      </c>
      <c r="K31" s="18" t="str">
        <f t="shared" si="5"/>
        <v>1400 руб
ER-009
2,01/74/148,74
386,724</v>
      </c>
      <c r="L31" s="14">
        <f t="shared" si="3"/>
        <v>1160.172</v>
      </c>
    </row>
    <row r="32" spans="1:12" ht="59.25" customHeight="1" x14ac:dyDescent="0.25">
      <c r="A32" s="5" t="s">
        <v>66</v>
      </c>
      <c r="B32" s="3">
        <v>2.79</v>
      </c>
      <c r="C32" s="3">
        <v>26</v>
      </c>
      <c r="D32" s="11">
        <f t="shared" si="8"/>
        <v>72.540000000000006</v>
      </c>
      <c r="E32" s="14">
        <f t="shared" si="0"/>
        <v>188.60400000000001</v>
      </c>
      <c r="F32" s="11">
        <f t="shared" si="1"/>
        <v>660.11400000000003</v>
      </c>
      <c r="G32" s="20">
        <v>1</v>
      </c>
      <c r="I32" s="6">
        <v>700</v>
      </c>
      <c r="K32" s="18" t="str">
        <f t="shared" si="5"/>
        <v>700 руб
ER-010
2,79/26/72,54
188,604</v>
      </c>
      <c r="L32" s="14">
        <f t="shared" si="3"/>
        <v>188.60400000000001</v>
      </c>
    </row>
    <row r="33" spans="1:12" ht="59.25" customHeight="1" x14ac:dyDescent="0.25">
      <c r="A33" s="5" t="s">
        <v>67</v>
      </c>
      <c r="B33" s="3">
        <v>5.81</v>
      </c>
      <c r="C33" s="3">
        <v>32</v>
      </c>
      <c r="D33" s="11">
        <f t="shared" si="8"/>
        <v>185.92</v>
      </c>
      <c r="E33" s="14">
        <f t="shared" si="0"/>
        <v>483.392</v>
      </c>
      <c r="F33" s="11">
        <f t="shared" si="1"/>
        <v>1691.8720000000001</v>
      </c>
      <c r="G33" s="3">
        <v>2</v>
      </c>
      <c r="I33" s="6">
        <v>1700</v>
      </c>
      <c r="K33" s="18" t="str">
        <f t="shared" si="5"/>
        <v>1700 руб
ER-011
5,81/32/185,92
483,392</v>
      </c>
      <c r="L33" s="14">
        <f t="shared" si="3"/>
        <v>966.78399999999999</v>
      </c>
    </row>
    <row r="34" spans="1:12" ht="59.25" customHeight="1" x14ac:dyDescent="0.25">
      <c r="A34" s="5" t="s">
        <v>68</v>
      </c>
      <c r="B34" s="3">
        <v>6.18</v>
      </c>
      <c r="C34" s="3">
        <v>45</v>
      </c>
      <c r="D34" s="11">
        <f t="shared" si="8"/>
        <v>278.09999999999997</v>
      </c>
      <c r="E34" s="14">
        <f t="shared" si="0"/>
        <v>723.06</v>
      </c>
      <c r="F34" s="11">
        <f t="shared" si="1"/>
        <v>2530.71</v>
      </c>
      <c r="G34" s="3">
        <v>2</v>
      </c>
      <c r="I34" s="6">
        <v>2550</v>
      </c>
      <c r="K34" s="18" t="str">
        <f t="shared" si="5"/>
        <v>2550 руб
ER-012
6,18/45/278,1
723,06</v>
      </c>
      <c r="L34" s="14">
        <f t="shared" si="3"/>
        <v>1446.12</v>
      </c>
    </row>
    <row r="35" spans="1:12" ht="59.25" customHeight="1" x14ac:dyDescent="0.25">
      <c r="A35" s="5" t="s">
        <v>69</v>
      </c>
      <c r="B35" s="3">
        <v>1.51</v>
      </c>
      <c r="C35" s="3">
        <v>33</v>
      </c>
      <c r="D35" s="11">
        <f t="shared" si="8"/>
        <v>49.83</v>
      </c>
      <c r="E35" s="14">
        <f t="shared" si="0"/>
        <v>129.55799999999999</v>
      </c>
      <c r="F35" s="11">
        <f t="shared" si="1"/>
        <v>453.45299999999997</v>
      </c>
      <c r="G35" s="3">
        <v>2</v>
      </c>
      <c r="I35" s="6">
        <v>450</v>
      </c>
      <c r="K35" s="18" t="str">
        <f t="shared" si="5"/>
        <v>450 руб
ER-013
1,51/33/49,83
129,558</v>
      </c>
      <c r="L35" s="14">
        <f t="shared" si="3"/>
        <v>259.11599999999999</v>
      </c>
    </row>
    <row r="36" spans="1:12" ht="59.25" customHeight="1" x14ac:dyDescent="0.25">
      <c r="A36" s="3" t="s">
        <v>70</v>
      </c>
      <c r="B36" s="3">
        <v>1.47</v>
      </c>
      <c r="C36" s="3">
        <v>40</v>
      </c>
      <c r="D36" s="11">
        <f t="shared" si="8"/>
        <v>58.8</v>
      </c>
      <c r="E36" s="14">
        <f t="shared" si="0"/>
        <v>152.88</v>
      </c>
      <c r="F36" s="11">
        <f t="shared" si="1"/>
        <v>535.07999999999993</v>
      </c>
      <c r="G36" s="3">
        <v>2</v>
      </c>
      <c r="I36" s="6">
        <v>550</v>
      </c>
      <c r="K36" s="18" t="str">
        <f t="shared" si="5"/>
        <v>550 руб
ER-014
1,47/40/58,8
152,88</v>
      </c>
      <c r="L36" s="14">
        <f t="shared" si="3"/>
        <v>305.76</v>
      </c>
    </row>
    <row r="37" spans="1:12" ht="59.25" customHeight="1" x14ac:dyDescent="0.25">
      <c r="A37" s="5" t="s">
        <v>71</v>
      </c>
      <c r="B37" s="3">
        <v>3.11</v>
      </c>
      <c r="C37" s="3">
        <v>32</v>
      </c>
      <c r="D37" s="11">
        <f t="shared" si="8"/>
        <v>99.52</v>
      </c>
      <c r="E37" s="14">
        <f t="shared" si="0"/>
        <v>258.75200000000001</v>
      </c>
      <c r="F37" s="11">
        <f t="shared" si="1"/>
        <v>905.63200000000006</v>
      </c>
      <c r="G37" s="20">
        <v>1</v>
      </c>
      <c r="I37" s="6">
        <v>900</v>
      </c>
      <c r="K37" s="18" t="str">
        <f t="shared" si="5"/>
        <v>900 руб
ER-015
3,11/32/99,52
258,752</v>
      </c>
      <c r="L37" s="14">
        <f t="shared" si="3"/>
        <v>258.75200000000001</v>
      </c>
    </row>
    <row r="38" spans="1:12" ht="59.25" customHeight="1" x14ac:dyDescent="0.25">
      <c r="A38" s="5" t="s">
        <v>72</v>
      </c>
      <c r="B38" s="3">
        <v>3.54</v>
      </c>
      <c r="C38" s="3">
        <v>33</v>
      </c>
      <c r="D38" s="11">
        <f t="shared" si="8"/>
        <v>116.82000000000001</v>
      </c>
      <c r="E38" s="14">
        <f t="shared" si="0"/>
        <v>303.73200000000003</v>
      </c>
      <c r="F38" s="11">
        <f t="shared" si="1"/>
        <v>1063.0620000000001</v>
      </c>
      <c r="G38" s="3">
        <v>2</v>
      </c>
      <c r="I38" s="6">
        <v>1100</v>
      </c>
      <c r="K38" s="18" t="str">
        <f t="shared" si="5"/>
        <v>1100 руб
ER-016
3,54/33/116,82
303,732</v>
      </c>
      <c r="L38" s="14">
        <f t="shared" si="3"/>
        <v>607.46400000000006</v>
      </c>
    </row>
    <row r="39" spans="1:12" ht="59.25" customHeight="1" x14ac:dyDescent="0.25">
      <c r="A39" s="5" t="s">
        <v>73</v>
      </c>
      <c r="B39" s="3">
        <v>2.69</v>
      </c>
      <c r="C39" s="3">
        <v>250</v>
      </c>
      <c r="D39" s="17">
        <v>250</v>
      </c>
      <c r="E39" s="14">
        <f t="shared" si="0"/>
        <v>650</v>
      </c>
      <c r="F39" s="11">
        <f t="shared" si="1"/>
        <v>2275</v>
      </c>
      <c r="G39" s="20">
        <v>1</v>
      </c>
      <c r="H39" s="1">
        <v>1</v>
      </c>
      <c r="I39" s="6">
        <v>2300</v>
      </c>
      <c r="K39" s="18" t="str">
        <f t="shared" si="5"/>
        <v>2300 руб
ER-017-TPZ-BL
2,69/250/250
650</v>
      </c>
      <c r="L39" s="14">
        <f t="shared" si="3"/>
        <v>0</v>
      </c>
    </row>
    <row r="40" spans="1:12" ht="59.25" customHeight="1" x14ac:dyDescent="0.25">
      <c r="A40" s="3" t="s">
        <v>74</v>
      </c>
      <c r="B40" s="3">
        <v>2.78</v>
      </c>
      <c r="C40" s="3">
        <v>38</v>
      </c>
      <c r="D40" s="11">
        <f t="shared" ref="D40:D41" si="9">C40*B40</f>
        <v>105.63999999999999</v>
      </c>
      <c r="E40" s="14">
        <f t="shared" si="0"/>
        <v>274.66399999999999</v>
      </c>
      <c r="F40" s="11">
        <f t="shared" si="1"/>
        <v>961.32399999999996</v>
      </c>
      <c r="G40" s="20">
        <v>1</v>
      </c>
      <c r="I40" s="6">
        <v>1000</v>
      </c>
      <c r="K40" s="18" t="str">
        <f t="shared" si="5"/>
        <v>1000 руб
ER-018
2,78/38/105,64
274,664</v>
      </c>
      <c r="L40" s="14">
        <f t="shared" si="3"/>
        <v>274.66399999999999</v>
      </c>
    </row>
    <row r="41" spans="1:12" ht="59.25" customHeight="1" x14ac:dyDescent="0.25">
      <c r="A41" s="5" t="s">
        <v>75</v>
      </c>
      <c r="B41" s="3">
        <v>5.39</v>
      </c>
      <c r="C41" s="3">
        <v>38</v>
      </c>
      <c r="D41" s="11">
        <f t="shared" si="9"/>
        <v>204.82</v>
      </c>
      <c r="E41" s="14">
        <f t="shared" si="0"/>
        <v>532.53200000000004</v>
      </c>
      <c r="F41" s="11">
        <f t="shared" si="1"/>
        <v>1863.8620000000001</v>
      </c>
      <c r="G41" s="20">
        <v>1</v>
      </c>
      <c r="I41" s="6">
        <v>2000</v>
      </c>
      <c r="K41" s="18" t="str">
        <f t="shared" si="5"/>
        <v>2000 руб
ER-019
5,39/38/204,82
532,532</v>
      </c>
      <c r="L41" s="14">
        <f t="shared" si="3"/>
        <v>532.53200000000004</v>
      </c>
    </row>
    <row r="42" spans="1:12" ht="59.25" customHeight="1" x14ac:dyDescent="0.25">
      <c r="A42" s="5" t="s">
        <v>76</v>
      </c>
      <c r="B42" s="3">
        <v>2.58</v>
      </c>
      <c r="C42" s="3">
        <v>238</v>
      </c>
      <c r="D42" s="17">
        <v>238</v>
      </c>
      <c r="E42" s="14">
        <f t="shared" si="0"/>
        <v>618.80000000000007</v>
      </c>
      <c r="F42" s="11">
        <f t="shared" si="1"/>
        <v>2165.8000000000002</v>
      </c>
      <c r="G42" s="20">
        <v>1</v>
      </c>
      <c r="I42" s="6">
        <v>2200</v>
      </c>
      <c r="K42" s="18" t="str">
        <f t="shared" si="5"/>
        <v>2200 руб
ER-020
2,58/238/238
618,8</v>
      </c>
      <c r="L42" s="14">
        <f t="shared" si="3"/>
        <v>618.80000000000007</v>
      </c>
    </row>
    <row r="43" spans="1:12" ht="59.25" customHeight="1" x14ac:dyDescent="0.25">
      <c r="A43" s="5" t="s">
        <v>77</v>
      </c>
      <c r="B43" s="3">
        <v>0.73</v>
      </c>
      <c r="C43" s="3">
        <v>43</v>
      </c>
      <c r="D43" s="17">
        <v>43</v>
      </c>
      <c r="E43" s="14">
        <f t="shared" si="0"/>
        <v>111.8</v>
      </c>
      <c r="F43" s="11">
        <f t="shared" si="1"/>
        <v>391.3</v>
      </c>
      <c r="G43" s="3">
        <v>3</v>
      </c>
      <c r="I43" s="6">
        <v>400</v>
      </c>
      <c r="K43" s="18" t="str">
        <f t="shared" si="5"/>
        <v>400 руб
ER-021
0,73/43/43
111,8</v>
      </c>
      <c r="L43" s="14">
        <f t="shared" si="3"/>
        <v>335.4</v>
      </c>
    </row>
    <row r="44" spans="1:12" ht="59.25" customHeight="1" x14ac:dyDescent="0.25">
      <c r="A44" s="5" t="s">
        <v>78</v>
      </c>
      <c r="B44" s="3">
        <v>1</v>
      </c>
      <c r="C44" s="3">
        <v>23</v>
      </c>
      <c r="D44" s="11">
        <f t="shared" ref="D44:D45" si="10">C44*B44</f>
        <v>23</v>
      </c>
      <c r="E44" s="14">
        <f t="shared" si="0"/>
        <v>59.800000000000004</v>
      </c>
      <c r="F44" s="11">
        <f t="shared" si="1"/>
        <v>209.3</v>
      </c>
      <c r="G44" s="1">
        <v>2</v>
      </c>
      <c r="I44" s="6">
        <v>250</v>
      </c>
      <c r="K44" s="18" t="str">
        <f t="shared" si="5"/>
        <v>250 руб
ER-022
1/23/23
59,8</v>
      </c>
      <c r="L44" s="14">
        <f t="shared" si="3"/>
        <v>119.60000000000001</v>
      </c>
    </row>
    <row r="45" spans="1:12" ht="59.25" customHeight="1" x14ac:dyDescent="0.25">
      <c r="A45" s="5" t="s">
        <v>79</v>
      </c>
      <c r="B45" s="3">
        <v>1.05</v>
      </c>
      <c r="C45" s="3">
        <v>35</v>
      </c>
      <c r="D45" s="11">
        <f t="shared" si="10"/>
        <v>36.75</v>
      </c>
      <c r="E45" s="14">
        <f t="shared" si="0"/>
        <v>95.55</v>
      </c>
      <c r="F45" s="11">
        <f t="shared" si="1"/>
        <v>334.42500000000001</v>
      </c>
      <c r="G45" s="6">
        <v>1</v>
      </c>
      <c r="I45" s="6">
        <v>350</v>
      </c>
      <c r="K45" s="18" t="str">
        <f t="shared" si="5"/>
        <v>350 руб
ER-023
1,05/35/36,75
95,55</v>
      </c>
      <c r="L45" s="14">
        <f t="shared" si="3"/>
        <v>95.55</v>
      </c>
    </row>
    <row r="46" spans="1:12" ht="59.25" customHeight="1" x14ac:dyDescent="0.25">
      <c r="A46" s="5" t="s">
        <v>80</v>
      </c>
      <c r="B46" s="3">
        <v>0.73</v>
      </c>
      <c r="C46" s="3">
        <v>60</v>
      </c>
      <c r="D46" s="17">
        <v>60</v>
      </c>
      <c r="E46" s="14">
        <f t="shared" si="0"/>
        <v>156</v>
      </c>
      <c r="F46" s="11">
        <f t="shared" si="1"/>
        <v>546</v>
      </c>
      <c r="G46" s="6">
        <v>1</v>
      </c>
      <c r="I46" s="6">
        <v>550</v>
      </c>
      <c r="K46" s="18" t="str">
        <f t="shared" si="5"/>
        <v>550 руб
ER-024
0,73/60/60
156</v>
      </c>
      <c r="L46" s="14">
        <f t="shared" si="3"/>
        <v>156</v>
      </c>
    </row>
    <row r="47" spans="1:12" ht="59.25" customHeight="1" x14ac:dyDescent="0.25">
      <c r="A47" s="5" t="s">
        <v>81</v>
      </c>
      <c r="B47" s="3">
        <v>2.93</v>
      </c>
      <c r="C47" s="3">
        <v>26</v>
      </c>
      <c r="D47" s="11">
        <f t="shared" ref="D47:D48" si="11">C47*B47</f>
        <v>76.180000000000007</v>
      </c>
      <c r="E47" s="14">
        <f t="shared" si="0"/>
        <v>198.06800000000001</v>
      </c>
      <c r="F47" s="11">
        <f t="shared" si="1"/>
        <v>693.23800000000006</v>
      </c>
      <c r="G47" s="6">
        <v>1</v>
      </c>
      <c r="I47" s="6">
        <v>700</v>
      </c>
      <c r="K47" s="18" t="str">
        <f t="shared" si="5"/>
        <v>700 руб
ER-025
2,93/26/76,18
198,068</v>
      </c>
      <c r="L47" s="14">
        <f t="shared" si="3"/>
        <v>198.06800000000001</v>
      </c>
    </row>
    <row r="48" spans="1:12" ht="59.25" customHeight="1" x14ac:dyDescent="0.25">
      <c r="A48" s="5" t="s">
        <v>82</v>
      </c>
      <c r="B48" s="3">
        <v>2.66</v>
      </c>
      <c r="C48" s="3">
        <v>26</v>
      </c>
      <c r="D48" s="11">
        <f t="shared" si="11"/>
        <v>69.16</v>
      </c>
      <c r="E48" s="14">
        <f t="shared" si="0"/>
        <v>179.816</v>
      </c>
      <c r="F48" s="11">
        <f t="shared" si="1"/>
        <v>629.35599999999999</v>
      </c>
      <c r="G48" s="6">
        <v>1</v>
      </c>
      <c r="I48" s="6">
        <v>650</v>
      </c>
      <c r="K48" s="18" t="str">
        <f t="shared" si="5"/>
        <v>650 руб
ER-026
2,66/26/69,16
179,816</v>
      </c>
      <c r="L48" s="14">
        <f t="shared" si="3"/>
        <v>179.816</v>
      </c>
    </row>
    <row r="49" spans="1:12" ht="59.25" customHeight="1" x14ac:dyDescent="0.25">
      <c r="A49" s="5" t="s">
        <v>83</v>
      </c>
      <c r="B49" s="3">
        <v>2.11</v>
      </c>
      <c r="C49" s="3">
        <v>155</v>
      </c>
      <c r="D49" s="17">
        <v>155</v>
      </c>
      <c r="E49" s="14">
        <f t="shared" si="0"/>
        <v>403</v>
      </c>
      <c r="F49" s="11">
        <f t="shared" si="1"/>
        <v>1410.5</v>
      </c>
      <c r="G49" s="6">
        <v>1</v>
      </c>
      <c r="I49" s="6">
        <v>1500</v>
      </c>
      <c r="K49" s="18" t="str">
        <f t="shared" si="5"/>
        <v>1500 руб
ER-027
2,11/155/155
403</v>
      </c>
      <c r="L49" s="14">
        <f t="shared" si="3"/>
        <v>403</v>
      </c>
    </row>
    <row r="50" spans="1:12" ht="59.25" customHeight="1" x14ac:dyDescent="0.25">
      <c r="A50" s="5" t="s">
        <v>84</v>
      </c>
      <c r="B50" s="3">
        <v>2.93</v>
      </c>
      <c r="C50" s="3">
        <v>85</v>
      </c>
      <c r="D50" s="11">
        <f>C50*B50</f>
        <v>249.05</v>
      </c>
      <c r="E50" s="14">
        <f t="shared" si="0"/>
        <v>647.53000000000009</v>
      </c>
      <c r="F50" s="11">
        <f t="shared" si="1"/>
        <v>2266.3550000000005</v>
      </c>
      <c r="G50" s="6">
        <v>1</v>
      </c>
      <c r="I50" s="6">
        <v>2300</v>
      </c>
      <c r="K50" s="18" t="str">
        <f t="shared" si="5"/>
        <v>2300 руб
ER-028-AMT
2,93/85/249,05
647,53</v>
      </c>
      <c r="L50" s="14">
        <f t="shared" si="3"/>
        <v>647.53000000000009</v>
      </c>
    </row>
    <row r="51" spans="1:12" ht="59.25" customHeight="1" x14ac:dyDescent="0.25">
      <c r="A51" s="5" t="s">
        <v>85</v>
      </c>
      <c r="B51" s="3">
        <v>1</v>
      </c>
      <c r="C51" s="3">
        <v>250</v>
      </c>
      <c r="D51" s="17">
        <v>250</v>
      </c>
      <c r="E51" s="14">
        <f t="shared" si="0"/>
        <v>650</v>
      </c>
      <c r="F51" s="11">
        <f t="shared" si="1"/>
        <v>2275</v>
      </c>
      <c r="G51" s="6">
        <v>1</v>
      </c>
      <c r="I51" s="6">
        <v>2300</v>
      </c>
      <c r="K51" s="18" t="str">
        <f t="shared" si="5"/>
        <v>2300 руб
ER-029
1/250/250
650</v>
      </c>
      <c r="L51" s="14">
        <f t="shared" si="3"/>
        <v>650</v>
      </c>
    </row>
    <row r="52" spans="1:12" ht="59.25" customHeight="1" x14ac:dyDescent="0.25">
      <c r="A52" s="5" t="s">
        <v>86</v>
      </c>
      <c r="B52" s="3">
        <v>4.75</v>
      </c>
      <c r="C52" s="3">
        <v>26</v>
      </c>
      <c r="D52" s="11">
        <f t="shared" ref="D52:D64" si="12">C52*B52</f>
        <v>123.5</v>
      </c>
      <c r="E52" s="14">
        <f t="shared" si="0"/>
        <v>321.10000000000002</v>
      </c>
      <c r="F52" s="11">
        <f t="shared" si="1"/>
        <v>1123.8500000000001</v>
      </c>
      <c r="G52" s="6">
        <v>1</v>
      </c>
      <c r="I52" s="6">
        <v>1200</v>
      </c>
      <c r="K52" s="18" t="str">
        <f t="shared" si="5"/>
        <v>1200 руб
ER-030
4,75/26/123,5
321,1</v>
      </c>
      <c r="L52" s="14">
        <f t="shared" si="3"/>
        <v>321.10000000000002</v>
      </c>
    </row>
    <row r="53" spans="1:12" ht="59.25" customHeight="1" x14ac:dyDescent="0.25">
      <c r="A53" s="5" t="s">
        <v>87</v>
      </c>
      <c r="B53" s="3">
        <v>3.52</v>
      </c>
      <c r="C53" s="3">
        <v>38</v>
      </c>
      <c r="D53" s="11">
        <f t="shared" si="12"/>
        <v>133.76</v>
      </c>
      <c r="E53" s="14">
        <f t="shared" si="0"/>
        <v>347.77600000000001</v>
      </c>
      <c r="F53" s="11">
        <f t="shared" si="1"/>
        <v>1217.2160000000001</v>
      </c>
      <c r="G53" s="6">
        <v>1</v>
      </c>
      <c r="I53" s="6">
        <v>1250</v>
      </c>
      <c r="K53" s="18" t="str">
        <f t="shared" si="5"/>
        <v>1250 руб
ER-031
3,52/38/133,76
347,776</v>
      </c>
      <c r="L53" s="14">
        <f t="shared" si="3"/>
        <v>347.77600000000001</v>
      </c>
    </row>
    <row r="54" spans="1:12" ht="59.25" customHeight="1" x14ac:dyDescent="0.25">
      <c r="A54" s="5" t="s">
        <v>88</v>
      </c>
      <c r="B54" s="3">
        <v>2.58</v>
      </c>
      <c r="C54" s="3">
        <v>89</v>
      </c>
      <c r="D54" s="11">
        <f t="shared" si="12"/>
        <v>229.62</v>
      </c>
      <c r="E54" s="14">
        <f t="shared" si="0"/>
        <v>597.01200000000006</v>
      </c>
      <c r="F54" s="11">
        <f t="shared" si="1"/>
        <v>2089.5420000000004</v>
      </c>
      <c r="G54" s="6">
        <v>1</v>
      </c>
      <c r="I54" s="6">
        <v>2100</v>
      </c>
      <c r="K54" s="18" t="str">
        <f t="shared" si="5"/>
        <v>2100 руб
ER-032-PPL
2,58/89/229,62
597,012</v>
      </c>
      <c r="L54" s="14">
        <f t="shared" si="3"/>
        <v>597.01200000000006</v>
      </c>
    </row>
    <row r="55" spans="1:12" ht="59.25" customHeight="1" x14ac:dyDescent="0.25">
      <c r="A55" s="5" t="s">
        <v>89</v>
      </c>
      <c r="B55" s="3">
        <v>5.53</v>
      </c>
      <c r="C55" s="3">
        <v>38</v>
      </c>
      <c r="D55" s="11">
        <f t="shared" si="12"/>
        <v>210.14000000000001</v>
      </c>
      <c r="E55" s="14">
        <f t="shared" si="0"/>
        <v>546.36400000000003</v>
      </c>
      <c r="F55" s="11">
        <f t="shared" si="1"/>
        <v>1912.2740000000001</v>
      </c>
      <c r="G55" s="6">
        <v>1</v>
      </c>
      <c r="I55" s="6">
        <v>2000</v>
      </c>
      <c r="K55" s="18" t="str">
        <f t="shared" si="5"/>
        <v>2000 руб
ER-033
5,53/38/210,14
546,364</v>
      </c>
      <c r="L55" s="14">
        <f t="shared" si="3"/>
        <v>546.36400000000003</v>
      </c>
    </row>
    <row r="56" spans="1:12" ht="59.25" customHeight="1" x14ac:dyDescent="0.25">
      <c r="A56" s="5" t="s">
        <v>90</v>
      </c>
      <c r="B56" s="3">
        <v>3.78</v>
      </c>
      <c r="C56" s="3">
        <v>38</v>
      </c>
      <c r="D56" s="11">
        <f t="shared" si="12"/>
        <v>143.63999999999999</v>
      </c>
      <c r="E56" s="14">
        <f t="shared" si="0"/>
        <v>373.464</v>
      </c>
      <c r="F56" s="11">
        <f t="shared" si="1"/>
        <v>1307.124</v>
      </c>
      <c r="G56" s="6">
        <v>1</v>
      </c>
      <c r="I56" s="6">
        <v>1400</v>
      </c>
      <c r="K56" s="18" t="str">
        <f t="shared" si="5"/>
        <v>1400 руб
ER-034
3,78/38/143,64
373,464</v>
      </c>
      <c r="L56" s="14">
        <f t="shared" si="3"/>
        <v>373.464</v>
      </c>
    </row>
    <row r="57" spans="1:12" ht="59.25" customHeight="1" x14ac:dyDescent="0.25">
      <c r="A57" s="3" t="s">
        <v>91</v>
      </c>
      <c r="B57" s="3">
        <v>5.39</v>
      </c>
      <c r="C57" s="3">
        <v>33</v>
      </c>
      <c r="D57" s="11">
        <f t="shared" si="12"/>
        <v>177.86999999999998</v>
      </c>
      <c r="E57" s="14">
        <f t="shared" si="0"/>
        <v>462.46199999999993</v>
      </c>
      <c r="F57" s="11">
        <f t="shared" si="1"/>
        <v>1618.6169999999997</v>
      </c>
      <c r="G57" s="6">
        <v>1</v>
      </c>
      <c r="I57" s="6">
        <v>1600</v>
      </c>
      <c r="K57" s="18" t="str">
        <f t="shared" si="5"/>
        <v>1600 руб
ER-035
5,39/33/177,87
462,462</v>
      </c>
      <c r="L57" s="14">
        <f t="shared" si="3"/>
        <v>462.46199999999993</v>
      </c>
    </row>
    <row r="58" spans="1:12" ht="59.25" customHeight="1" x14ac:dyDescent="0.25">
      <c r="A58" s="5" t="s">
        <v>92</v>
      </c>
      <c r="B58" s="3">
        <v>2.86</v>
      </c>
      <c r="C58" s="3">
        <v>65</v>
      </c>
      <c r="D58" s="11">
        <f t="shared" si="12"/>
        <v>185.9</v>
      </c>
      <c r="E58" s="14">
        <f t="shared" si="0"/>
        <v>483.34000000000003</v>
      </c>
      <c r="F58" s="11">
        <f t="shared" si="1"/>
        <v>1691.69</v>
      </c>
      <c r="G58" s="6">
        <v>1</v>
      </c>
      <c r="I58" s="6">
        <v>1700</v>
      </c>
      <c r="K58" s="18" t="str">
        <f t="shared" si="5"/>
        <v>1700 руб
ER-036
2,86/65/185,9
483,34</v>
      </c>
      <c r="L58" s="14">
        <f t="shared" si="3"/>
        <v>483.34000000000003</v>
      </c>
    </row>
    <row r="59" spans="1:12" ht="59.25" customHeight="1" x14ac:dyDescent="0.25">
      <c r="A59" s="5" t="s">
        <v>93</v>
      </c>
      <c r="B59" s="3">
        <v>6.57</v>
      </c>
      <c r="C59" s="3">
        <v>35</v>
      </c>
      <c r="D59" s="11">
        <f t="shared" si="12"/>
        <v>229.95000000000002</v>
      </c>
      <c r="E59" s="14">
        <f t="shared" si="0"/>
        <v>597.87000000000012</v>
      </c>
      <c r="F59" s="11">
        <f t="shared" si="1"/>
        <v>2092.5450000000005</v>
      </c>
      <c r="G59" s="6">
        <v>1</v>
      </c>
      <c r="I59" s="6">
        <v>2100</v>
      </c>
      <c r="K59" s="18" t="str">
        <f t="shared" si="5"/>
        <v>2100 руб
ER-037
6,57/35/229,95
597,87</v>
      </c>
      <c r="L59" s="14">
        <f t="shared" si="3"/>
        <v>597.87000000000012</v>
      </c>
    </row>
    <row r="60" spans="1:12" ht="59.25" customHeight="1" x14ac:dyDescent="0.25">
      <c r="A60" s="3" t="s">
        <v>94</v>
      </c>
      <c r="B60" s="3">
        <v>1</v>
      </c>
      <c r="C60" s="3">
        <v>140</v>
      </c>
      <c r="D60" s="11">
        <f t="shared" si="12"/>
        <v>140</v>
      </c>
      <c r="E60" s="14">
        <f t="shared" si="0"/>
        <v>364</v>
      </c>
      <c r="F60" s="11">
        <f t="shared" si="1"/>
        <v>1274</v>
      </c>
      <c r="G60" s="6">
        <v>1</v>
      </c>
      <c r="I60" s="6">
        <v>1300</v>
      </c>
      <c r="K60" s="18" t="str">
        <f t="shared" si="5"/>
        <v>1300 руб
ER-038
1/140/140
364</v>
      </c>
      <c r="L60" s="14">
        <f t="shared" si="3"/>
        <v>364</v>
      </c>
    </row>
    <row r="61" spans="1:12" ht="59.25" customHeight="1" x14ac:dyDescent="0.25">
      <c r="A61" s="5" t="s">
        <v>95</v>
      </c>
      <c r="B61" s="3">
        <v>4.08</v>
      </c>
      <c r="C61" s="3">
        <v>35</v>
      </c>
      <c r="D61" s="11">
        <f t="shared" si="12"/>
        <v>142.80000000000001</v>
      </c>
      <c r="E61" s="14">
        <f t="shared" si="0"/>
        <v>371.28000000000003</v>
      </c>
      <c r="F61" s="11">
        <f t="shared" si="1"/>
        <v>1299.48</v>
      </c>
      <c r="G61" s="6">
        <v>1</v>
      </c>
      <c r="I61" s="6">
        <v>1300</v>
      </c>
      <c r="K61" s="18" t="str">
        <f t="shared" si="5"/>
        <v>1300 руб
ER-039
4,08/35/142,8
371,28</v>
      </c>
      <c r="L61" s="14">
        <f t="shared" si="3"/>
        <v>371.28000000000003</v>
      </c>
    </row>
    <row r="62" spans="1:12" ht="59.25" customHeight="1" x14ac:dyDescent="0.25">
      <c r="A62" s="5" t="s">
        <v>96</v>
      </c>
      <c r="B62" s="3">
        <v>4.75</v>
      </c>
      <c r="C62" s="3">
        <v>38</v>
      </c>
      <c r="D62" s="11">
        <f t="shared" si="12"/>
        <v>180.5</v>
      </c>
      <c r="E62" s="14">
        <f t="shared" si="0"/>
        <v>469.3</v>
      </c>
      <c r="F62" s="11">
        <f t="shared" si="1"/>
        <v>1642.55</v>
      </c>
      <c r="G62" s="6">
        <v>1</v>
      </c>
      <c r="I62" s="6">
        <v>1700</v>
      </c>
      <c r="K62" s="18" t="str">
        <f t="shared" si="5"/>
        <v>1700 руб
ER-040
4,75/38/180,5
469,3</v>
      </c>
      <c r="L62" s="14">
        <f t="shared" si="3"/>
        <v>469.3</v>
      </c>
    </row>
    <row r="63" spans="1:12" ht="59.25" customHeight="1" x14ac:dyDescent="0.25">
      <c r="A63" s="3" t="s">
        <v>97</v>
      </c>
      <c r="B63" s="3">
        <v>1</v>
      </c>
      <c r="C63" s="3">
        <v>204</v>
      </c>
      <c r="D63" s="11">
        <f t="shared" si="12"/>
        <v>204</v>
      </c>
      <c r="E63" s="14">
        <f t="shared" si="0"/>
        <v>530.4</v>
      </c>
      <c r="F63" s="11">
        <f t="shared" si="1"/>
        <v>1856.3999999999999</v>
      </c>
      <c r="G63" s="6">
        <v>1</v>
      </c>
      <c r="I63" s="6">
        <v>1900</v>
      </c>
      <c r="K63" s="18" t="str">
        <f t="shared" si="5"/>
        <v>1900 руб
ER-041
1/204/204
530,4</v>
      </c>
      <c r="L63" s="14">
        <f t="shared" si="3"/>
        <v>530.4</v>
      </c>
    </row>
    <row r="64" spans="1:12" ht="59.25" customHeight="1" x14ac:dyDescent="0.25">
      <c r="A64" s="5" t="s">
        <v>98</v>
      </c>
      <c r="B64" s="3">
        <v>1</v>
      </c>
      <c r="C64" s="3">
        <v>55</v>
      </c>
      <c r="D64" s="11">
        <f t="shared" si="12"/>
        <v>55</v>
      </c>
      <c r="E64" s="14">
        <f t="shared" si="0"/>
        <v>143</v>
      </c>
      <c r="F64" s="11">
        <f t="shared" si="1"/>
        <v>500.5</v>
      </c>
      <c r="G64" s="3">
        <v>3</v>
      </c>
      <c r="I64" s="6">
        <v>500</v>
      </c>
      <c r="K64" s="18" t="str">
        <f t="shared" si="5"/>
        <v>500 руб
ER-042
1/55/55
143</v>
      </c>
      <c r="L64" s="14">
        <f t="shared" si="3"/>
        <v>429</v>
      </c>
    </row>
    <row r="65" spans="1:12" ht="59.25" customHeight="1" x14ac:dyDescent="0.25">
      <c r="A65" s="5" t="s">
        <v>99</v>
      </c>
      <c r="B65" s="3">
        <v>0.7</v>
      </c>
      <c r="C65" s="3">
        <v>35</v>
      </c>
      <c r="D65" s="17">
        <v>35</v>
      </c>
      <c r="E65" s="14">
        <f t="shared" si="0"/>
        <v>91</v>
      </c>
      <c r="F65" s="11">
        <f t="shared" si="1"/>
        <v>318.5</v>
      </c>
      <c r="G65" s="1">
        <v>5</v>
      </c>
      <c r="H65" s="2"/>
      <c r="I65" s="6">
        <v>320</v>
      </c>
      <c r="K65" s="18" t="str">
        <f t="shared" si="5"/>
        <v>320 руб
ER-043
0,7/35/35
91</v>
      </c>
      <c r="L65" s="14">
        <f t="shared" si="3"/>
        <v>455</v>
      </c>
    </row>
    <row r="66" spans="1:12" ht="59.25" customHeight="1" x14ac:dyDescent="0.25">
      <c r="A66" s="3" t="s">
        <v>100</v>
      </c>
      <c r="B66" s="3">
        <v>5.15</v>
      </c>
      <c r="C66" s="3">
        <v>75</v>
      </c>
      <c r="D66" s="11">
        <f t="shared" ref="D66:D159" si="13">C66*B66</f>
        <v>386.25</v>
      </c>
      <c r="E66" s="14">
        <f t="shared" si="0"/>
        <v>1004.25</v>
      </c>
      <c r="F66" s="11">
        <f t="shared" si="1"/>
        <v>3514.875</v>
      </c>
      <c r="G66" s="6">
        <v>1</v>
      </c>
      <c r="I66" s="6">
        <v>3600</v>
      </c>
      <c r="K66" s="18" t="str">
        <f t="shared" si="5"/>
        <v>3600 руб
ER-044
5,15/75/386,25
1004,25</v>
      </c>
      <c r="L66" s="14">
        <f t="shared" si="3"/>
        <v>1004.25</v>
      </c>
    </row>
    <row r="67" spans="1:12" ht="59.25" customHeight="1" x14ac:dyDescent="0.25">
      <c r="A67" s="5" t="s">
        <v>101</v>
      </c>
      <c r="B67" s="1">
        <v>2</v>
      </c>
      <c r="C67" s="1">
        <v>120</v>
      </c>
      <c r="D67" s="11">
        <f t="shared" si="13"/>
        <v>240</v>
      </c>
      <c r="E67" s="14">
        <f t="shared" si="0"/>
        <v>624</v>
      </c>
      <c r="F67" s="11">
        <f t="shared" si="1"/>
        <v>2184</v>
      </c>
      <c r="G67" s="6">
        <v>1</v>
      </c>
      <c r="I67" s="6">
        <v>2200</v>
      </c>
      <c r="K67" s="18" t="str">
        <f t="shared" ref="K67:K130" si="14">I67&amp;" руб
"&amp;A67&amp;"
"&amp;B67&amp;"/" &amp;IF(OR(C67="",C67=1),D67,C67)&amp;"/"&amp;D67&amp;"
"&amp;E67</f>
        <v>2200 руб
ER-045
2/120/240
624</v>
      </c>
      <c r="L67" s="14">
        <f t="shared" ref="L67:L130" si="15">E67*G67-E67*H67</f>
        <v>624</v>
      </c>
    </row>
    <row r="68" spans="1:12" ht="59.25" customHeight="1" x14ac:dyDescent="0.25">
      <c r="A68" s="5" t="s">
        <v>102</v>
      </c>
      <c r="B68" s="1">
        <v>2.9</v>
      </c>
      <c r="C68" s="1">
        <v>50</v>
      </c>
      <c r="D68" s="11">
        <f t="shared" si="13"/>
        <v>145</v>
      </c>
      <c r="E68" s="14">
        <f t="shared" si="0"/>
        <v>377</v>
      </c>
      <c r="F68" s="11">
        <f t="shared" si="1"/>
        <v>1319.5</v>
      </c>
      <c r="G68" s="6">
        <v>1</v>
      </c>
      <c r="I68" s="6">
        <v>1350</v>
      </c>
      <c r="K68" s="18" t="str">
        <f t="shared" si="14"/>
        <v>1350 руб
ER-046
2,9/50/145
377</v>
      </c>
      <c r="L68" s="14">
        <f t="shared" si="15"/>
        <v>377</v>
      </c>
    </row>
    <row r="69" spans="1:12" ht="59.25" customHeight="1" x14ac:dyDescent="0.25">
      <c r="A69" s="3" t="s">
        <v>103</v>
      </c>
      <c r="B69" s="1">
        <v>1</v>
      </c>
      <c r="C69" s="1">
        <v>140</v>
      </c>
      <c r="D69" s="11">
        <f t="shared" si="13"/>
        <v>140</v>
      </c>
      <c r="E69" s="14">
        <f t="shared" si="0"/>
        <v>364</v>
      </c>
      <c r="F69" s="11">
        <f t="shared" si="1"/>
        <v>1274</v>
      </c>
      <c r="G69" s="1">
        <v>4</v>
      </c>
      <c r="I69" s="6">
        <v>1300</v>
      </c>
      <c r="K69" s="18" t="str">
        <f t="shared" si="14"/>
        <v>1300 руб
ER-047
1/140/140
364</v>
      </c>
      <c r="L69" s="14">
        <f t="shared" si="15"/>
        <v>1456</v>
      </c>
    </row>
    <row r="70" spans="1:12" ht="59.25" customHeight="1" x14ac:dyDescent="0.25">
      <c r="A70" s="5" t="s">
        <v>104</v>
      </c>
      <c r="B70" s="1">
        <v>5.63</v>
      </c>
      <c r="C70" s="1">
        <v>45</v>
      </c>
      <c r="D70" s="11">
        <f t="shared" si="13"/>
        <v>253.35</v>
      </c>
      <c r="E70" s="14">
        <f t="shared" si="0"/>
        <v>658.71</v>
      </c>
      <c r="F70" s="11">
        <f t="shared" si="1"/>
        <v>2305.4850000000001</v>
      </c>
      <c r="G70" s="6">
        <v>1</v>
      </c>
      <c r="I70" s="6">
        <v>2350</v>
      </c>
      <c r="K70" s="18" t="str">
        <f t="shared" si="14"/>
        <v>2350 руб
ER-048
5,63/45/253,35
658,71</v>
      </c>
      <c r="L70" s="14">
        <f t="shared" si="15"/>
        <v>658.71</v>
      </c>
    </row>
    <row r="71" spans="1:12" ht="59.25" customHeight="1" x14ac:dyDescent="0.25">
      <c r="A71" s="5" t="s">
        <v>105</v>
      </c>
      <c r="B71" s="1">
        <v>1</v>
      </c>
      <c r="C71" s="1">
        <v>35</v>
      </c>
      <c r="D71" s="11">
        <f t="shared" si="13"/>
        <v>35</v>
      </c>
      <c r="E71" s="14">
        <f t="shared" si="0"/>
        <v>91</v>
      </c>
      <c r="F71" s="11">
        <f t="shared" si="1"/>
        <v>318.5</v>
      </c>
      <c r="G71" s="1">
        <v>6</v>
      </c>
      <c r="I71" s="6">
        <v>320</v>
      </c>
      <c r="K71" s="18" t="str">
        <f t="shared" si="14"/>
        <v>320 руб
ER-049
1/35/35
91</v>
      </c>
      <c r="L71" s="14">
        <f t="shared" si="15"/>
        <v>546</v>
      </c>
    </row>
    <row r="72" spans="1:12" ht="59.25" customHeight="1" x14ac:dyDescent="0.25">
      <c r="A72" s="5" t="s">
        <v>106</v>
      </c>
      <c r="B72" s="1">
        <v>1</v>
      </c>
      <c r="C72" s="1">
        <v>89</v>
      </c>
      <c r="D72" s="11">
        <f t="shared" si="13"/>
        <v>89</v>
      </c>
      <c r="E72" s="14">
        <f t="shared" si="0"/>
        <v>231.4</v>
      </c>
      <c r="F72" s="11">
        <f t="shared" si="1"/>
        <v>809.9</v>
      </c>
      <c r="G72" s="6">
        <v>1</v>
      </c>
      <c r="I72" s="6">
        <v>850</v>
      </c>
      <c r="K72" s="18" t="str">
        <f t="shared" si="14"/>
        <v>850 руб
ER-050
1/89/89
231,4</v>
      </c>
      <c r="L72" s="14">
        <f t="shared" si="15"/>
        <v>231.4</v>
      </c>
    </row>
    <row r="73" spans="1:12" ht="59.25" customHeight="1" x14ac:dyDescent="0.25">
      <c r="A73" s="3" t="s">
        <v>107</v>
      </c>
      <c r="B73" s="1">
        <v>3.02</v>
      </c>
      <c r="C73" s="1">
        <v>33</v>
      </c>
      <c r="D73" s="11">
        <f t="shared" si="13"/>
        <v>99.66</v>
      </c>
      <c r="E73" s="14">
        <f t="shared" si="0"/>
        <v>259.11599999999999</v>
      </c>
      <c r="F73" s="11">
        <f t="shared" si="1"/>
        <v>906.90599999999995</v>
      </c>
      <c r="G73" s="6">
        <v>1</v>
      </c>
      <c r="I73" s="6">
        <v>900</v>
      </c>
      <c r="K73" s="18" t="str">
        <f t="shared" si="14"/>
        <v>900 руб
ER-051
3,02/33/99,66
259,116</v>
      </c>
      <c r="L73" s="14">
        <f t="shared" si="15"/>
        <v>259.11599999999999</v>
      </c>
    </row>
    <row r="74" spans="1:12" ht="59.25" customHeight="1" x14ac:dyDescent="0.25">
      <c r="A74" s="5" t="s">
        <v>108</v>
      </c>
      <c r="B74" s="1">
        <v>3.89</v>
      </c>
      <c r="C74" s="1">
        <v>65</v>
      </c>
      <c r="D74" s="11">
        <f t="shared" si="13"/>
        <v>252.85</v>
      </c>
      <c r="E74" s="14">
        <f t="shared" si="0"/>
        <v>657.41</v>
      </c>
      <c r="F74" s="11">
        <f t="shared" si="1"/>
        <v>2300.9349999999999</v>
      </c>
      <c r="G74" s="1">
        <v>2</v>
      </c>
      <c r="I74" s="6">
        <v>2300</v>
      </c>
      <c r="K74" s="18" t="str">
        <f t="shared" si="14"/>
        <v>2300 руб
ER-052
3,89/65/252,85
657,41</v>
      </c>
      <c r="L74" s="14">
        <f t="shared" si="15"/>
        <v>1314.82</v>
      </c>
    </row>
    <row r="75" spans="1:12" ht="59.25" customHeight="1" x14ac:dyDescent="0.25">
      <c r="A75" s="5" t="s">
        <v>109</v>
      </c>
      <c r="B75" s="1">
        <v>3.22</v>
      </c>
      <c r="C75" s="1">
        <v>39</v>
      </c>
      <c r="D75" s="11">
        <f t="shared" si="13"/>
        <v>125.58000000000001</v>
      </c>
      <c r="E75" s="14">
        <f t="shared" si="0"/>
        <v>326.50800000000004</v>
      </c>
      <c r="F75" s="11">
        <f t="shared" si="1"/>
        <v>1142.7780000000002</v>
      </c>
      <c r="G75" s="6">
        <v>1</v>
      </c>
      <c r="I75" s="6">
        <v>1200</v>
      </c>
      <c r="K75" s="18" t="str">
        <f t="shared" si="14"/>
        <v>1200 руб
ER-053
3,22/39/125,58
326,508</v>
      </c>
      <c r="L75" s="14">
        <f t="shared" si="15"/>
        <v>326.50800000000004</v>
      </c>
    </row>
    <row r="76" spans="1:12" s="2" customFormat="1" ht="59.25" customHeight="1" x14ac:dyDescent="0.25">
      <c r="A76" s="5" t="s">
        <v>110</v>
      </c>
      <c r="B76" s="2">
        <v>4.3600000000000003</v>
      </c>
      <c r="C76" s="2">
        <v>50</v>
      </c>
      <c r="D76" s="12">
        <f t="shared" si="13"/>
        <v>218.00000000000003</v>
      </c>
      <c r="E76" s="15">
        <f t="shared" si="0"/>
        <v>566.80000000000007</v>
      </c>
      <c r="F76" s="12">
        <f t="shared" si="1"/>
        <v>1983.8000000000002</v>
      </c>
      <c r="G76" s="2">
        <v>4</v>
      </c>
      <c r="I76" s="2">
        <v>2000</v>
      </c>
      <c r="K76" s="18" t="str">
        <f t="shared" si="14"/>
        <v>2000 руб
ER-054
4,36/50/218
566,8</v>
      </c>
      <c r="L76" s="14">
        <f t="shared" si="15"/>
        <v>2267.2000000000003</v>
      </c>
    </row>
    <row r="77" spans="1:12" ht="59.25" customHeight="1" x14ac:dyDescent="0.25">
      <c r="A77" s="5" t="s">
        <v>111</v>
      </c>
      <c r="B77" s="1">
        <v>1.81</v>
      </c>
      <c r="C77" s="1">
        <v>45</v>
      </c>
      <c r="D77" s="11">
        <f t="shared" si="13"/>
        <v>81.45</v>
      </c>
      <c r="E77" s="14">
        <f t="shared" si="0"/>
        <v>211.77</v>
      </c>
      <c r="F77" s="11">
        <f t="shared" si="1"/>
        <v>741.19500000000005</v>
      </c>
      <c r="G77" s="1">
        <v>2</v>
      </c>
      <c r="I77" s="6">
        <v>750</v>
      </c>
      <c r="K77" s="18" t="str">
        <f t="shared" si="14"/>
        <v>750 руб
ER-055
1,81/45/81,45
211,77</v>
      </c>
      <c r="L77" s="14">
        <f t="shared" si="15"/>
        <v>423.54</v>
      </c>
    </row>
    <row r="78" spans="1:12" ht="59.25" customHeight="1" x14ac:dyDescent="0.25">
      <c r="A78" s="5" t="s">
        <v>112</v>
      </c>
      <c r="B78" s="1">
        <v>1</v>
      </c>
      <c r="C78" s="1">
        <v>38</v>
      </c>
      <c r="D78" s="11">
        <f t="shared" si="13"/>
        <v>38</v>
      </c>
      <c r="E78" s="14">
        <f t="shared" si="0"/>
        <v>98.8</v>
      </c>
      <c r="F78" s="11">
        <f t="shared" si="1"/>
        <v>345.8</v>
      </c>
      <c r="G78" s="6">
        <v>1</v>
      </c>
      <c r="I78" s="6">
        <v>350</v>
      </c>
      <c r="K78" s="18" t="str">
        <f t="shared" si="14"/>
        <v>350 руб
ER-056
1/38/38
98,8</v>
      </c>
      <c r="L78" s="14">
        <f t="shared" si="15"/>
        <v>98.8</v>
      </c>
    </row>
    <row r="79" spans="1:12" s="8" customFormat="1" ht="59.25" customHeight="1" x14ac:dyDescent="0.25">
      <c r="A79" s="7" t="s">
        <v>113</v>
      </c>
      <c r="B79" s="8">
        <v>1</v>
      </c>
      <c r="C79" s="8">
        <v>80</v>
      </c>
      <c r="D79" s="13">
        <f t="shared" si="13"/>
        <v>80</v>
      </c>
      <c r="E79" s="16">
        <f t="shared" si="0"/>
        <v>208</v>
      </c>
      <c r="F79" s="13">
        <f t="shared" si="1"/>
        <v>728</v>
      </c>
      <c r="G79" s="8">
        <v>4</v>
      </c>
      <c r="H79" s="8">
        <v>1</v>
      </c>
      <c r="I79" s="8">
        <v>730</v>
      </c>
      <c r="K79" s="18" t="str">
        <f t="shared" si="14"/>
        <v>730 руб
ER-057
1/80/80
208</v>
      </c>
      <c r="L79" s="14">
        <f t="shared" si="15"/>
        <v>624</v>
      </c>
    </row>
    <row r="80" spans="1:12" ht="59.25" customHeight="1" x14ac:dyDescent="0.25">
      <c r="A80" s="5" t="s">
        <v>114</v>
      </c>
      <c r="B80" s="1">
        <v>1</v>
      </c>
      <c r="C80" s="1">
        <v>80</v>
      </c>
      <c r="D80" s="11">
        <f t="shared" si="13"/>
        <v>80</v>
      </c>
      <c r="E80" s="14">
        <f t="shared" si="0"/>
        <v>208</v>
      </c>
      <c r="F80" s="11">
        <f t="shared" si="1"/>
        <v>728</v>
      </c>
      <c r="G80" s="6">
        <v>1</v>
      </c>
      <c r="I80" s="6">
        <v>730</v>
      </c>
      <c r="K80" s="18" t="str">
        <f t="shared" si="14"/>
        <v>730 руб
ER-058
1/80/80
208</v>
      </c>
      <c r="L80" s="14">
        <f t="shared" si="15"/>
        <v>208</v>
      </c>
    </row>
    <row r="81" spans="1:12" ht="59.25" customHeight="1" x14ac:dyDescent="0.25">
      <c r="A81" s="5" t="s">
        <v>115</v>
      </c>
      <c r="B81" s="1">
        <v>1</v>
      </c>
      <c r="C81" s="1">
        <v>1</v>
      </c>
      <c r="D81" s="11">
        <v>445</v>
      </c>
      <c r="E81" s="14">
        <f t="shared" si="0"/>
        <v>1157</v>
      </c>
      <c r="F81" s="11">
        <f t="shared" si="1"/>
        <v>4049.5</v>
      </c>
      <c r="G81" s="6">
        <v>1</v>
      </c>
      <c r="I81" s="6">
        <v>4050</v>
      </c>
      <c r="K81" s="18" t="str">
        <f t="shared" si="14"/>
        <v>4050 руб
ER-059
1/445/445
1157</v>
      </c>
      <c r="L81" s="14">
        <f t="shared" si="15"/>
        <v>1157</v>
      </c>
    </row>
    <row r="82" spans="1:12" ht="59.25" customHeight="1" x14ac:dyDescent="0.25">
      <c r="A82" s="5" t="s">
        <v>116</v>
      </c>
      <c r="B82" s="1">
        <v>3.84</v>
      </c>
      <c r="C82" s="1">
        <v>38</v>
      </c>
      <c r="D82" s="11">
        <f t="shared" si="13"/>
        <v>145.91999999999999</v>
      </c>
      <c r="E82" s="14">
        <f t="shared" si="0"/>
        <v>379.392</v>
      </c>
      <c r="F82" s="11">
        <f t="shared" si="1"/>
        <v>1327.8720000000001</v>
      </c>
      <c r="G82" s="6">
        <v>1</v>
      </c>
      <c r="I82" s="6">
        <v>1400</v>
      </c>
      <c r="K82" s="18" t="str">
        <f t="shared" si="14"/>
        <v>1400 руб
ER-060
3,84/38/145,92
379,392</v>
      </c>
      <c r="L82" s="14">
        <f t="shared" si="15"/>
        <v>379.392</v>
      </c>
    </row>
    <row r="83" spans="1:12" ht="59.25" customHeight="1" x14ac:dyDescent="0.25">
      <c r="A83" s="3" t="s">
        <v>117</v>
      </c>
      <c r="B83" s="1">
        <v>1.69</v>
      </c>
      <c r="C83" s="1">
        <v>80</v>
      </c>
      <c r="D83" s="11">
        <f t="shared" si="13"/>
        <v>135.19999999999999</v>
      </c>
      <c r="E83" s="14">
        <f t="shared" si="0"/>
        <v>351.52</v>
      </c>
      <c r="F83" s="11">
        <f t="shared" si="1"/>
        <v>1230.32</v>
      </c>
      <c r="G83" s="6">
        <v>1</v>
      </c>
      <c r="I83" s="6">
        <v>1300</v>
      </c>
      <c r="K83" s="18" t="str">
        <f t="shared" si="14"/>
        <v>1300 руб
ER-061
1,69/80/135,2
351,52</v>
      </c>
      <c r="L83" s="14">
        <f t="shared" si="15"/>
        <v>351.52</v>
      </c>
    </row>
    <row r="84" spans="1:12" ht="59.25" customHeight="1" x14ac:dyDescent="0.25">
      <c r="A84" s="5" t="s">
        <v>118</v>
      </c>
      <c r="B84" s="1">
        <v>1.1399999999999999</v>
      </c>
      <c r="C84" s="1">
        <v>45</v>
      </c>
      <c r="D84" s="11">
        <f t="shared" si="13"/>
        <v>51.3</v>
      </c>
      <c r="E84" s="14">
        <f t="shared" si="0"/>
        <v>133.38</v>
      </c>
      <c r="F84" s="11">
        <f t="shared" si="1"/>
        <v>466.83</v>
      </c>
      <c r="G84" s="6">
        <v>1</v>
      </c>
      <c r="I84" s="6">
        <v>500</v>
      </c>
      <c r="K84" s="18" t="str">
        <f t="shared" si="14"/>
        <v>500 руб
ER-062
1,14/45/51,3
133,38</v>
      </c>
      <c r="L84" s="14">
        <f t="shared" si="15"/>
        <v>133.38</v>
      </c>
    </row>
    <row r="85" spans="1:12" ht="59.25" customHeight="1" x14ac:dyDescent="0.25">
      <c r="A85" s="5" t="s">
        <v>119</v>
      </c>
      <c r="B85" s="1">
        <v>2.23</v>
      </c>
      <c r="C85" s="1">
        <v>95</v>
      </c>
      <c r="D85" s="11">
        <f t="shared" si="13"/>
        <v>211.85</v>
      </c>
      <c r="E85" s="14">
        <f t="shared" si="0"/>
        <v>550.81000000000006</v>
      </c>
      <c r="F85" s="11">
        <f t="shared" si="1"/>
        <v>1927.8350000000003</v>
      </c>
      <c r="G85" s="6">
        <v>1</v>
      </c>
      <c r="I85" s="6">
        <v>2000</v>
      </c>
      <c r="K85" s="18" t="str">
        <f t="shared" si="14"/>
        <v>2000 руб
ER-063
2,23/95/211,85
550,81</v>
      </c>
      <c r="L85" s="14">
        <f t="shared" si="15"/>
        <v>550.81000000000006</v>
      </c>
    </row>
    <row r="86" spans="1:12" ht="59.25" customHeight="1" x14ac:dyDescent="0.25">
      <c r="A86" s="5" t="s">
        <v>120</v>
      </c>
      <c r="B86" s="1">
        <v>3.2</v>
      </c>
      <c r="C86" s="1">
        <v>32</v>
      </c>
      <c r="D86" s="11">
        <f t="shared" si="13"/>
        <v>102.4</v>
      </c>
      <c r="E86" s="14">
        <f t="shared" si="0"/>
        <v>266.24</v>
      </c>
      <c r="F86" s="11">
        <f t="shared" si="1"/>
        <v>931.84</v>
      </c>
      <c r="G86" s="1">
        <v>2</v>
      </c>
      <c r="I86" s="6">
        <v>1000</v>
      </c>
      <c r="K86" s="18" t="str">
        <f t="shared" si="14"/>
        <v>1000 руб
ER-064
3,2/32/102,4
266,24</v>
      </c>
      <c r="L86" s="14">
        <f t="shared" si="15"/>
        <v>532.48</v>
      </c>
    </row>
    <row r="87" spans="1:12" ht="59.25" customHeight="1" x14ac:dyDescent="0.25">
      <c r="A87" s="5" t="s">
        <v>121</v>
      </c>
      <c r="B87" s="1">
        <v>0.81</v>
      </c>
      <c r="C87" s="1">
        <v>65</v>
      </c>
      <c r="D87" s="11">
        <v>65</v>
      </c>
      <c r="E87" s="14">
        <f t="shared" si="0"/>
        <v>169</v>
      </c>
      <c r="F87" s="11">
        <f t="shared" si="1"/>
        <v>591.5</v>
      </c>
      <c r="G87" s="1">
        <v>2</v>
      </c>
      <c r="I87" s="6">
        <v>600</v>
      </c>
      <c r="K87" s="18" t="str">
        <f t="shared" si="14"/>
        <v>600 руб
ER-065
0,81/65/65
169</v>
      </c>
      <c r="L87" s="14">
        <f t="shared" si="15"/>
        <v>338</v>
      </c>
    </row>
    <row r="88" spans="1:12" ht="59.25" customHeight="1" x14ac:dyDescent="0.25">
      <c r="A88" s="5" t="s">
        <v>122</v>
      </c>
      <c r="B88" s="1">
        <v>1.79</v>
      </c>
      <c r="C88" s="1">
        <v>69</v>
      </c>
      <c r="D88" s="11">
        <f t="shared" si="13"/>
        <v>123.51</v>
      </c>
      <c r="E88" s="14">
        <f t="shared" si="0"/>
        <v>321.12600000000003</v>
      </c>
      <c r="F88" s="11">
        <f t="shared" si="1"/>
        <v>1123.941</v>
      </c>
      <c r="G88" s="6">
        <v>1</v>
      </c>
      <c r="I88" s="6">
        <v>1200</v>
      </c>
      <c r="K88" s="18" t="str">
        <f t="shared" si="14"/>
        <v>1200 руб
ER-066
1,79/69/123,51
321,126</v>
      </c>
      <c r="L88" s="14">
        <f t="shared" si="15"/>
        <v>321.12600000000003</v>
      </c>
    </row>
    <row r="89" spans="1:12" ht="59.25" customHeight="1" x14ac:dyDescent="0.25">
      <c r="A89" s="5" t="s">
        <v>123</v>
      </c>
      <c r="B89" s="1">
        <v>0.8</v>
      </c>
      <c r="C89" s="1">
        <v>27</v>
      </c>
      <c r="D89" s="11">
        <v>27</v>
      </c>
      <c r="E89" s="14">
        <f t="shared" si="0"/>
        <v>70.2</v>
      </c>
      <c r="F89" s="11">
        <f t="shared" si="1"/>
        <v>245.70000000000002</v>
      </c>
      <c r="G89" s="1">
        <v>5</v>
      </c>
      <c r="I89" s="6">
        <v>300</v>
      </c>
      <c r="K89" s="18" t="str">
        <f t="shared" si="14"/>
        <v>300 руб
ER-067
0,8/27/27
70,2</v>
      </c>
      <c r="L89" s="14">
        <f t="shared" si="15"/>
        <v>351</v>
      </c>
    </row>
    <row r="90" spans="1:12" ht="59.25" customHeight="1" x14ac:dyDescent="0.25">
      <c r="A90" s="5" t="s">
        <v>124</v>
      </c>
      <c r="B90" s="1">
        <v>1</v>
      </c>
      <c r="C90" s="1">
        <v>48</v>
      </c>
      <c r="D90" s="11">
        <f t="shared" si="13"/>
        <v>48</v>
      </c>
      <c r="E90" s="14">
        <f t="shared" si="0"/>
        <v>124.80000000000001</v>
      </c>
      <c r="F90" s="11">
        <f t="shared" si="1"/>
        <v>436.80000000000007</v>
      </c>
      <c r="G90" s="1">
        <v>6</v>
      </c>
      <c r="I90" s="6">
        <v>500</v>
      </c>
      <c r="K90" s="18" t="str">
        <f t="shared" si="14"/>
        <v>500 руб
ER-068
1/48/48
124,8</v>
      </c>
      <c r="L90" s="14">
        <f t="shared" si="15"/>
        <v>748.80000000000007</v>
      </c>
    </row>
    <row r="91" spans="1:12" ht="59.25" customHeight="1" x14ac:dyDescent="0.25">
      <c r="A91" s="5" t="s">
        <v>125</v>
      </c>
      <c r="B91" s="1">
        <v>7.02</v>
      </c>
      <c r="C91" s="1">
        <v>26</v>
      </c>
      <c r="D91" s="11">
        <f t="shared" si="13"/>
        <v>182.51999999999998</v>
      </c>
      <c r="E91" s="14">
        <f t="shared" si="0"/>
        <v>474.55199999999996</v>
      </c>
      <c r="F91" s="11">
        <f t="shared" si="1"/>
        <v>1660.9319999999998</v>
      </c>
      <c r="G91" s="6">
        <v>1</v>
      </c>
      <c r="I91" s="6">
        <v>1700</v>
      </c>
      <c r="K91" s="18" t="str">
        <f t="shared" si="14"/>
        <v>1700 руб
ER-069
7,02/26/182,52
474,552</v>
      </c>
      <c r="L91" s="14">
        <f t="shared" si="15"/>
        <v>474.55199999999996</v>
      </c>
    </row>
    <row r="92" spans="1:12" ht="59.25" customHeight="1" x14ac:dyDescent="0.25">
      <c r="A92" s="5" t="s">
        <v>126</v>
      </c>
      <c r="B92" s="1">
        <v>1.39</v>
      </c>
      <c r="C92" s="1">
        <v>80</v>
      </c>
      <c r="D92" s="11">
        <f t="shared" si="13"/>
        <v>111.19999999999999</v>
      </c>
      <c r="E92" s="14">
        <f t="shared" si="0"/>
        <v>289.12</v>
      </c>
      <c r="F92" s="11">
        <f t="shared" si="1"/>
        <v>1011.9200000000001</v>
      </c>
      <c r="G92" s="6">
        <v>1</v>
      </c>
      <c r="I92" s="6">
        <v>1100</v>
      </c>
      <c r="K92" s="18" t="str">
        <f t="shared" si="14"/>
        <v>1100 руб
ER-070
1,39/80/111,2
289,12</v>
      </c>
      <c r="L92" s="14">
        <f t="shared" si="15"/>
        <v>289.12</v>
      </c>
    </row>
    <row r="93" spans="1:12" ht="59.25" customHeight="1" x14ac:dyDescent="0.25">
      <c r="A93" s="5" t="s">
        <v>127</v>
      </c>
      <c r="B93" s="1">
        <v>1</v>
      </c>
      <c r="C93" s="1">
        <v>28</v>
      </c>
      <c r="D93" s="11">
        <f t="shared" si="13"/>
        <v>28</v>
      </c>
      <c r="E93" s="14">
        <f t="shared" si="0"/>
        <v>72.8</v>
      </c>
      <c r="F93" s="11">
        <f t="shared" si="1"/>
        <v>254.79999999999998</v>
      </c>
      <c r="G93" s="1">
        <v>5</v>
      </c>
      <c r="I93" s="6">
        <v>300</v>
      </c>
      <c r="K93" s="18" t="str">
        <f t="shared" si="14"/>
        <v>300 руб
ER-071
1/28/28
72,8</v>
      </c>
      <c r="L93" s="14">
        <f t="shared" si="15"/>
        <v>364</v>
      </c>
    </row>
    <row r="94" spans="1:12" ht="59.25" customHeight="1" x14ac:dyDescent="0.25">
      <c r="A94" s="5" t="s">
        <v>128</v>
      </c>
      <c r="B94" s="1">
        <v>0.86</v>
      </c>
      <c r="C94" s="1">
        <v>60</v>
      </c>
      <c r="D94" s="11">
        <v>60</v>
      </c>
      <c r="E94" s="14">
        <f t="shared" si="0"/>
        <v>156</v>
      </c>
      <c r="F94" s="11">
        <f t="shared" si="1"/>
        <v>546</v>
      </c>
      <c r="G94" s="6">
        <v>1</v>
      </c>
      <c r="I94" s="6">
        <v>600</v>
      </c>
      <c r="K94" s="18" t="str">
        <f t="shared" si="14"/>
        <v>600 руб
ER-072
0,86/60/60
156</v>
      </c>
      <c r="L94" s="14">
        <f t="shared" si="15"/>
        <v>156</v>
      </c>
    </row>
    <row r="95" spans="1:12" ht="59.25" customHeight="1" x14ac:dyDescent="0.25">
      <c r="A95" s="5" t="s">
        <v>129</v>
      </c>
      <c r="B95" s="1">
        <v>5.56</v>
      </c>
      <c r="C95" s="1">
        <v>390</v>
      </c>
      <c r="D95" s="11">
        <v>390</v>
      </c>
      <c r="E95" s="14">
        <f t="shared" si="0"/>
        <v>1014</v>
      </c>
      <c r="F95" s="11">
        <f t="shared" si="1"/>
        <v>3549</v>
      </c>
      <c r="G95" s="6">
        <v>1</v>
      </c>
      <c r="I95" s="6">
        <v>3600</v>
      </c>
      <c r="K95" s="18" t="str">
        <f t="shared" si="14"/>
        <v>3600 руб
ER-073
5,56/390/390
1014</v>
      </c>
      <c r="L95" s="14">
        <f t="shared" si="15"/>
        <v>1014</v>
      </c>
    </row>
    <row r="96" spans="1:12" ht="59.25" customHeight="1" x14ac:dyDescent="0.25">
      <c r="A96" s="5" t="s">
        <v>130</v>
      </c>
      <c r="B96" s="1">
        <v>1</v>
      </c>
      <c r="C96" s="1">
        <v>35</v>
      </c>
      <c r="D96" s="11">
        <f t="shared" si="13"/>
        <v>35</v>
      </c>
      <c r="E96" s="14">
        <f t="shared" si="0"/>
        <v>91</v>
      </c>
      <c r="F96" s="11">
        <f t="shared" si="1"/>
        <v>318.5</v>
      </c>
      <c r="G96" s="6">
        <v>1</v>
      </c>
      <c r="I96" s="6">
        <v>350</v>
      </c>
      <c r="K96" s="18" t="str">
        <f t="shared" si="14"/>
        <v>350 руб
ER-074
1/35/35
91</v>
      </c>
      <c r="L96" s="14">
        <f t="shared" si="15"/>
        <v>91</v>
      </c>
    </row>
    <row r="97" spans="1:12" ht="59.25" customHeight="1" x14ac:dyDescent="0.25">
      <c r="A97" s="5" t="s">
        <v>131</v>
      </c>
      <c r="B97" s="1">
        <v>0.86</v>
      </c>
      <c r="C97" s="1">
        <v>89</v>
      </c>
      <c r="D97" s="11">
        <v>89</v>
      </c>
      <c r="E97" s="14">
        <f t="shared" si="0"/>
        <v>231.4</v>
      </c>
      <c r="F97" s="11">
        <f t="shared" si="1"/>
        <v>809.9</v>
      </c>
      <c r="G97" s="6">
        <v>1</v>
      </c>
      <c r="I97" s="6">
        <v>850</v>
      </c>
      <c r="K97" s="18" t="str">
        <f t="shared" si="14"/>
        <v>850 руб
ER-075
0,86/89/89
231,4</v>
      </c>
      <c r="L97" s="14">
        <f t="shared" si="15"/>
        <v>231.4</v>
      </c>
    </row>
    <row r="98" spans="1:12" ht="59.25" customHeight="1" x14ac:dyDescent="0.25">
      <c r="A98" s="5" t="s">
        <v>132</v>
      </c>
      <c r="B98" s="1">
        <v>7.99</v>
      </c>
      <c r="C98" s="1">
        <v>45</v>
      </c>
      <c r="D98" s="11">
        <f t="shared" si="13"/>
        <v>359.55</v>
      </c>
      <c r="E98" s="14">
        <f t="shared" si="0"/>
        <v>934.83</v>
      </c>
      <c r="F98" s="11">
        <f t="shared" si="1"/>
        <v>3271.9050000000002</v>
      </c>
      <c r="G98" s="6">
        <v>1</v>
      </c>
      <c r="I98" s="6">
        <v>3300</v>
      </c>
      <c r="K98" s="18" t="str">
        <f t="shared" si="14"/>
        <v>3300 руб
ER-076
7,99/45/359,55
934,83</v>
      </c>
      <c r="L98" s="14">
        <f t="shared" si="15"/>
        <v>934.83</v>
      </c>
    </row>
    <row r="99" spans="1:12" ht="59.25" customHeight="1" x14ac:dyDescent="0.25">
      <c r="A99" s="5" t="s">
        <v>133</v>
      </c>
      <c r="B99" s="1">
        <v>2.17</v>
      </c>
      <c r="C99" s="1">
        <v>120</v>
      </c>
      <c r="D99" s="11">
        <f t="shared" si="13"/>
        <v>260.39999999999998</v>
      </c>
      <c r="E99" s="14">
        <f t="shared" si="0"/>
        <v>677.04</v>
      </c>
      <c r="F99" s="11">
        <f t="shared" si="1"/>
        <v>2369.64</v>
      </c>
      <c r="G99" s="6">
        <v>1</v>
      </c>
      <c r="I99" s="6">
        <v>2400</v>
      </c>
      <c r="K99" s="18" t="str">
        <f t="shared" si="14"/>
        <v>2400 руб
ER-077
2,17/120/260,4
677,04</v>
      </c>
      <c r="L99" s="14">
        <f t="shared" si="15"/>
        <v>677.04</v>
      </c>
    </row>
    <row r="100" spans="1:12" ht="59.25" customHeight="1" x14ac:dyDescent="0.25">
      <c r="A100" s="5" t="s">
        <v>134</v>
      </c>
      <c r="B100" s="1">
        <v>2.0499999999999998</v>
      </c>
      <c r="C100" s="1">
        <v>75</v>
      </c>
      <c r="D100" s="11">
        <f t="shared" si="13"/>
        <v>153.75</v>
      </c>
      <c r="E100" s="14">
        <f t="shared" si="0"/>
        <v>399.75</v>
      </c>
      <c r="F100" s="11">
        <f t="shared" si="1"/>
        <v>1399.125</v>
      </c>
      <c r="G100" s="1">
        <v>2</v>
      </c>
      <c r="I100" s="6">
        <v>1400</v>
      </c>
      <c r="K100" s="18" t="str">
        <f t="shared" si="14"/>
        <v>1400 руб
ER-078
2,05/75/153,75
399,75</v>
      </c>
      <c r="L100" s="14">
        <f t="shared" si="15"/>
        <v>799.5</v>
      </c>
    </row>
    <row r="101" spans="1:12" ht="59.25" customHeight="1" x14ac:dyDescent="0.25">
      <c r="A101" s="5" t="s">
        <v>135</v>
      </c>
      <c r="B101" s="1">
        <v>1.1599999999999999</v>
      </c>
      <c r="C101" s="1">
        <v>79</v>
      </c>
      <c r="D101" s="11">
        <f t="shared" si="13"/>
        <v>91.64</v>
      </c>
      <c r="E101" s="14">
        <f t="shared" si="0"/>
        <v>238.26400000000001</v>
      </c>
      <c r="F101" s="11">
        <f t="shared" si="1"/>
        <v>833.92399999999998</v>
      </c>
      <c r="G101" s="1">
        <v>2</v>
      </c>
      <c r="I101" s="6">
        <v>850</v>
      </c>
      <c r="K101" s="18" t="str">
        <f t="shared" si="14"/>
        <v>850 руб
ER-079
1,16/79/91,64
238,264</v>
      </c>
      <c r="L101" s="14">
        <f t="shared" si="15"/>
        <v>476.52800000000002</v>
      </c>
    </row>
    <row r="102" spans="1:12" ht="59.25" customHeight="1" x14ac:dyDescent="0.25">
      <c r="A102" s="5" t="s">
        <v>136</v>
      </c>
      <c r="B102" s="1">
        <v>1.76</v>
      </c>
      <c r="C102" s="1">
        <v>75</v>
      </c>
      <c r="D102" s="11">
        <f t="shared" si="13"/>
        <v>132</v>
      </c>
      <c r="E102" s="14">
        <f t="shared" si="0"/>
        <v>343.2</v>
      </c>
      <c r="F102" s="11">
        <f t="shared" si="1"/>
        <v>1201.2</v>
      </c>
      <c r="G102" s="1">
        <v>2</v>
      </c>
      <c r="I102" s="6">
        <v>1200</v>
      </c>
      <c r="K102" s="18" t="str">
        <f t="shared" si="14"/>
        <v>1200 руб
ER-080
1,76/75/132
343,2</v>
      </c>
      <c r="L102" s="14">
        <f t="shared" si="15"/>
        <v>686.4</v>
      </c>
    </row>
    <row r="103" spans="1:12" ht="59.25" customHeight="1" x14ac:dyDescent="0.25">
      <c r="A103" s="5" t="s">
        <v>137</v>
      </c>
      <c r="B103" s="1">
        <v>2.2599999999999998</v>
      </c>
      <c r="C103" s="1">
        <v>230</v>
      </c>
      <c r="D103" s="11">
        <v>230</v>
      </c>
      <c r="E103" s="14">
        <f t="shared" si="0"/>
        <v>598</v>
      </c>
      <c r="F103" s="11">
        <f t="shared" si="1"/>
        <v>2093</v>
      </c>
      <c r="G103" s="6">
        <v>1</v>
      </c>
      <c r="I103" s="6">
        <v>2100</v>
      </c>
      <c r="K103" s="18" t="str">
        <f t="shared" si="14"/>
        <v>2100 руб
ER-081
2,26/230/230
598</v>
      </c>
      <c r="L103" s="14">
        <f t="shared" si="15"/>
        <v>598</v>
      </c>
    </row>
    <row r="104" spans="1:12" ht="59.25" customHeight="1" x14ac:dyDescent="0.25">
      <c r="A104" s="5" t="s">
        <v>138</v>
      </c>
      <c r="B104" s="1">
        <v>3.35</v>
      </c>
      <c r="C104" s="1">
        <v>39</v>
      </c>
      <c r="D104" s="11">
        <f t="shared" si="13"/>
        <v>130.65</v>
      </c>
      <c r="E104" s="14">
        <f t="shared" si="0"/>
        <v>339.69000000000005</v>
      </c>
      <c r="F104" s="11">
        <f t="shared" si="1"/>
        <v>1188.9150000000002</v>
      </c>
      <c r="G104" s="1">
        <v>2</v>
      </c>
      <c r="I104" s="6">
        <v>1200</v>
      </c>
      <c r="K104" s="18" t="str">
        <f t="shared" si="14"/>
        <v>1200 руб
ER-082
3,35/39/130,65
339,69</v>
      </c>
      <c r="L104" s="14">
        <f t="shared" si="15"/>
        <v>679.38000000000011</v>
      </c>
    </row>
    <row r="105" spans="1:12" ht="59.25" customHeight="1" x14ac:dyDescent="0.25">
      <c r="A105" s="5" t="s">
        <v>139</v>
      </c>
      <c r="B105" s="1">
        <v>4.55</v>
      </c>
      <c r="C105" s="1">
        <v>36</v>
      </c>
      <c r="D105" s="11">
        <f t="shared" si="13"/>
        <v>163.79999999999998</v>
      </c>
      <c r="E105" s="14">
        <f t="shared" si="0"/>
        <v>425.88</v>
      </c>
      <c r="F105" s="11">
        <f t="shared" si="1"/>
        <v>1490.58</v>
      </c>
      <c r="G105" s="1">
        <v>2</v>
      </c>
      <c r="I105" s="6">
        <v>1500</v>
      </c>
      <c r="K105" s="18" t="str">
        <f t="shared" si="14"/>
        <v>1500 руб
ER-083
4,55/36/163,8
425,88</v>
      </c>
      <c r="L105" s="14">
        <f t="shared" si="15"/>
        <v>851.76</v>
      </c>
    </row>
    <row r="106" spans="1:12" ht="59.25" customHeight="1" x14ac:dyDescent="0.25">
      <c r="A106" s="5" t="s">
        <v>140</v>
      </c>
      <c r="B106" s="1">
        <v>17.25</v>
      </c>
      <c r="C106" s="1">
        <v>39</v>
      </c>
      <c r="D106" s="11">
        <f t="shared" si="13"/>
        <v>672.75</v>
      </c>
      <c r="E106" s="14">
        <f t="shared" si="0"/>
        <v>1749.15</v>
      </c>
      <c r="F106" s="11">
        <f t="shared" si="1"/>
        <v>6122.0250000000005</v>
      </c>
      <c r="G106" s="1">
        <v>2</v>
      </c>
      <c r="I106" s="6">
        <v>6200</v>
      </c>
      <c r="K106" s="18" t="str">
        <f t="shared" si="14"/>
        <v>6200 руб
ER-084
17,25/39/672,75
1749,15</v>
      </c>
      <c r="L106" s="14">
        <f t="shared" si="15"/>
        <v>3498.3</v>
      </c>
    </row>
    <row r="107" spans="1:12" ht="59.25" customHeight="1" x14ac:dyDescent="0.25">
      <c r="A107" s="5" t="s">
        <v>141</v>
      </c>
      <c r="B107" s="1">
        <v>6.18</v>
      </c>
      <c r="C107" s="1">
        <v>39</v>
      </c>
      <c r="D107" s="11">
        <f t="shared" si="13"/>
        <v>241.01999999999998</v>
      </c>
      <c r="E107" s="14">
        <f t="shared" si="0"/>
        <v>626.65199999999993</v>
      </c>
      <c r="F107" s="11">
        <f t="shared" si="1"/>
        <v>2193.2819999999997</v>
      </c>
      <c r="G107" s="6">
        <v>1</v>
      </c>
      <c r="I107" s="6">
        <v>2200</v>
      </c>
      <c r="K107" s="18" t="str">
        <f t="shared" si="14"/>
        <v>2200 руб
ER-085
6,18/39/241,02
626,652</v>
      </c>
      <c r="L107" s="14">
        <f t="shared" si="15"/>
        <v>626.65199999999993</v>
      </c>
    </row>
    <row r="108" spans="1:12" ht="59.25" customHeight="1" x14ac:dyDescent="0.25">
      <c r="A108" s="5" t="s">
        <v>142</v>
      </c>
      <c r="B108" s="1">
        <v>2.5299999999999998</v>
      </c>
      <c r="C108" s="1">
        <v>26</v>
      </c>
      <c r="D108" s="11">
        <f t="shared" si="13"/>
        <v>65.78</v>
      </c>
      <c r="E108" s="14">
        <f t="shared" si="0"/>
        <v>171.02800000000002</v>
      </c>
      <c r="F108" s="11">
        <f t="shared" si="1"/>
        <v>598.59800000000007</v>
      </c>
      <c r="G108" s="6">
        <v>1</v>
      </c>
      <c r="I108" s="6">
        <v>600</v>
      </c>
      <c r="K108" s="18" t="str">
        <f t="shared" si="14"/>
        <v>600 руб
ER-086
2,53/26/65,78
171,028</v>
      </c>
      <c r="L108" s="14">
        <f t="shared" si="15"/>
        <v>171.02800000000002</v>
      </c>
    </row>
    <row r="109" spans="1:12" ht="59.25" customHeight="1" x14ac:dyDescent="0.25">
      <c r="A109" s="5" t="s">
        <v>143</v>
      </c>
      <c r="B109" s="1">
        <v>17</v>
      </c>
      <c r="C109" s="1">
        <v>39</v>
      </c>
      <c r="D109" s="11">
        <f t="shared" si="13"/>
        <v>663</v>
      </c>
      <c r="E109" s="14">
        <f t="shared" si="0"/>
        <v>1723.8</v>
      </c>
      <c r="F109" s="11">
        <f t="shared" si="1"/>
        <v>6033.3</v>
      </c>
      <c r="G109" s="6">
        <v>1</v>
      </c>
      <c r="I109" s="6">
        <v>6100</v>
      </c>
      <c r="K109" s="18" t="str">
        <f t="shared" si="14"/>
        <v>6100 руб
ER-087
17/39/663
1723,8</v>
      </c>
      <c r="L109" s="14">
        <f t="shared" si="15"/>
        <v>1723.8</v>
      </c>
    </row>
    <row r="110" spans="1:12" ht="59.25" customHeight="1" x14ac:dyDescent="0.25">
      <c r="A110" s="5" t="s">
        <v>144</v>
      </c>
      <c r="B110" s="1">
        <v>1.27</v>
      </c>
      <c r="C110" s="1">
        <v>75</v>
      </c>
      <c r="D110" s="11">
        <f t="shared" si="13"/>
        <v>95.25</v>
      </c>
      <c r="E110" s="14">
        <f t="shared" si="0"/>
        <v>247.65</v>
      </c>
      <c r="F110" s="11">
        <f t="shared" si="1"/>
        <v>866.77499999999998</v>
      </c>
      <c r="G110" s="1">
        <v>4</v>
      </c>
      <c r="I110" s="6">
        <v>900</v>
      </c>
      <c r="K110" s="18" t="str">
        <f t="shared" si="14"/>
        <v>900 руб
ER-088
1,27/75/95,25
247,65</v>
      </c>
      <c r="L110" s="14">
        <f t="shared" si="15"/>
        <v>990.6</v>
      </c>
    </row>
    <row r="111" spans="1:12" ht="59.25" customHeight="1" x14ac:dyDescent="0.25">
      <c r="A111" s="5" t="s">
        <v>145</v>
      </c>
      <c r="B111" s="1">
        <v>1.56</v>
      </c>
      <c r="C111" s="1">
        <v>69</v>
      </c>
      <c r="D111" s="11">
        <f t="shared" si="13"/>
        <v>107.64</v>
      </c>
      <c r="E111" s="14">
        <f t="shared" si="0"/>
        <v>279.86400000000003</v>
      </c>
      <c r="F111" s="11">
        <f t="shared" si="1"/>
        <v>979.52400000000011</v>
      </c>
      <c r="G111" s="1">
        <v>2</v>
      </c>
      <c r="I111" s="6">
        <v>1000</v>
      </c>
      <c r="K111" s="18" t="str">
        <f t="shared" si="14"/>
        <v>1000 руб
ER-089
1,56/69/107,64
279,864</v>
      </c>
      <c r="L111" s="14">
        <f t="shared" si="15"/>
        <v>559.72800000000007</v>
      </c>
    </row>
    <row r="112" spans="1:12" ht="59.25" customHeight="1" x14ac:dyDescent="0.25">
      <c r="A112" s="5" t="s">
        <v>146</v>
      </c>
      <c r="B112" s="1">
        <v>3.87</v>
      </c>
      <c r="C112" s="1">
        <v>45</v>
      </c>
      <c r="D112" s="11">
        <f t="shared" si="13"/>
        <v>174.15</v>
      </c>
      <c r="E112" s="14">
        <f t="shared" si="0"/>
        <v>452.79</v>
      </c>
      <c r="F112" s="11">
        <f t="shared" si="1"/>
        <v>1584.7650000000001</v>
      </c>
      <c r="G112" s="6">
        <v>1</v>
      </c>
      <c r="I112" s="6">
        <v>1600</v>
      </c>
      <c r="K112" s="18" t="str">
        <f t="shared" si="14"/>
        <v>1600 руб
ER-090
3,87/45/174,15
452,79</v>
      </c>
      <c r="L112" s="14">
        <f t="shared" si="15"/>
        <v>452.79</v>
      </c>
    </row>
    <row r="113" spans="1:12" ht="59.25" customHeight="1" x14ac:dyDescent="0.25">
      <c r="A113" s="5" t="s">
        <v>147</v>
      </c>
      <c r="B113" s="1">
        <v>1.56</v>
      </c>
      <c r="C113" s="1">
        <v>79</v>
      </c>
      <c r="D113" s="11">
        <f t="shared" si="13"/>
        <v>123.24000000000001</v>
      </c>
      <c r="E113" s="14">
        <f t="shared" si="0"/>
        <v>320.42400000000004</v>
      </c>
      <c r="F113" s="11">
        <f t="shared" si="1"/>
        <v>1121.4840000000002</v>
      </c>
      <c r="G113" s="1">
        <v>2</v>
      </c>
      <c r="I113" s="6">
        <v>1200</v>
      </c>
      <c r="K113" s="18" t="str">
        <f t="shared" si="14"/>
        <v>1200 руб
ER-091
1,56/79/123,24
320,424</v>
      </c>
      <c r="L113" s="14">
        <f t="shared" si="15"/>
        <v>640.84800000000007</v>
      </c>
    </row>
    <row r="114" spans="1:12" ht="59.25" customHeight="1" x14ac:dyDescent="0.25">
      <c r="A114" s="5" t="s">
        <v>148</v>
      </c>
      <c r="B114" s="1">
        <v>1</v>
      </c>
      <c r="C114" s="1">
        <v>26</v>
      </c>
      <c r="D114" s="11">
        <f t="shared" si="13"/>
        <v>26</v>
      </c>
      <c r="E114" s="14">
        <f t="shared" si="0"/>
        <v>67.600000000000009</v>
      </c>
      <c r="F114" s="11">
        <f t="shared" si="1"/>
        <v>236.60000000000002</v>
      </c>
      <c r="G114" s="6">
        <v>1</v>
      </c>
      <c r="I114" s="6">
        <v>250</v>
      </c>
      <c r="K114" s="18" t="str">
        <f t="shared" si="14"/>
        <v>250 руб
ER-092
1/26/26
67,6</v>
      </c>
      <c r="L114" s="14">
        <f t="shared" si="15"/>
        <v>67.600000000000009</v>
      </c>
    </row>
    <row r="115" spans="1:12" ht="59.25" customHeight="1" x14ac:dyDescent="0.25">
      <c r="A115" s="5" t="s">
        <v>149</v>
      </c>
      <c r="B115" s="1">
        <v>1</v>
      </c>
      <c r="C115" s="1">
        <v>25</v>
      </c>
      <c r="D115" s="11">
        <f t="shared" si="13"/>
        <v>25</v>
      </c>
      <c r="E115" s="14">
        <f t="shared" si="0"/>
        <v>65</v>
      </c>
      <c r="F115" s="11">
        <f t="shared" si="1"/>
        <v>227.5</v>
      </c>
      <c r="G115" s="1">
        <v>2</v>
      </c>
      <c r="I115" s="6">
        <v>250</v>
      </c>
      <c r="K115" s="18" t="str">
        <f t="shared" si="14"/>
        <v>250 руб
ER-093
1/25/25
65</v>
      </c>
      <c r="L115" s="14">
        <f t="shared" si="15"/>
        <v>130</v>
      </c>
    </row>
    <row r="116" spans="1:12" ht="59.25" customHeight="1" x14ac:dyDescent="0.25">
      <c r="A116" s="5" t="s">
        <v>150</v>
      </c>
      <c r="B116" s="1">
        <v>1</v>
      </c>
      <c r="C116" s="1">
        <v>24</v>
      </c>
      <c r="D116" s="11">
        <f t="shared" si="13"/>
        <v>24</v>
      </c>
      <c r="E116" s="14">
        <f t="shared" si="0"/>
        <v>62.400000000000006</v>
      </c>
      <c r="F116" s="11">
        <f t="shared" si="1"/>
        <v>218.40000000000003</v>
      </c>
      <c r="G116" s="6">
        <v>1</v>
      </c>
      <c r="I116" s="6">
        <v>250</v>
      </c>
      <c r="K116" s="18" t="str">
        <f t="shared" si="14"/>
        <v>250 руб
ER-094
1/24/24
62,4</v>
      </c>
      <c r="L116" s="14">
        <f t="shared" si="15"/>
        <v>62.400000000000006</v>
      </c>
    </row>
    <row r="117" spans="1:12" ht="59.25" customHeight="1" x14ac:dyDescent="0.25">
      <c r="A117" s="5" t="s">
        <v>151</v>
      </c>
      <c r="B117" s="1">
        <v>1</v>
      </c>
      <c r="C117" s="1">
        <v>53</v>
      </c>
      <c r="D117" s="11">
        <f t="shared" si="13"/>
        <v>53</v>
      </c>
      <c r="E117" s="14">
        <f t="shared" si="0"/>
        <v>137.80000000000001</v>
      </c>
      <c r="F117" s="11">
        <f t="shared" si="1"/>
        <v>482.30000000000007</v>
      </c>
      <c r="G117" s="6">
        <v>1</v>
      </c>
      <c r="I117" s="6">
        <v>500</v>
      </c>
      <c r="K117" s="18" t="str">
        <f t="shared" si="14"/>
        <v>500 руб
ER-095
1/53/53
137,8</v>
      </c>
      <c r="L117" s="14">
        <f t="shared" si="15"/>
        <v>137.80000000000001</v>
      </c>
    </row>
    <row r="118" spans="1:12" ht="59.25" customHeight="1" x14ac:dyDescent="0.25">
      <c r="A118" s="5" t="s">
        <v>152</v>
      </c>
      <c r="B118" s="1">
        <v>1</v>
      </c>
      <c r="C118" s="1">
        <v>35</v>
      </c>
      <c r="D118" s="11">
        <f t="shared" si="13"/>
        <v>35</v>
      </c>
      <c r="E118" s="14">
        <f t="shared" si="0"/>
        <v>91</v>
      </c>
      <c r="F118" s="11">
        <f t="shared" si="1"/>
        <v>318.5</v>
      </c>
      <c r="G118" s="6">
        <v>1</v>
      </c>
      <c r="I118" s="6">
        <v>350</v>
      </c>
      <c r="K118" s="18" t="str">
        <f t="shared" si="14"/>
        <v>350 руб
ER-096
1/35/35
91</v>
      </c>
      <c r="L118" s="14">
        <f t="shared" si="15"/>
        <v>91</v>
      </c>
    </row>
    <row r="119" spans="1:12" ht="59.25" customHeight="1" x14ac:dyDescent="0.25">
      <c r="A119" s="5" t="s">
        <v>158</v>
      </c>
      <c r="B119" s="1">
        <v>3.01</v>
      </c>
      <c r="C119" s="1">
        <v>37</v>
      </c>
      <c r="D119" s="11">
        <f t="shared" si="13"/>
        <v>111.36999999999999</v>
      </c>
      <c r="E119" s="14">
        <f t="shared" si="0"/>
        <v>289.56200000000001</v>
      </c>
      <c r="F119" s="11">
        <f t="shared" si="1"/>
        <v>1013.4670000000001</v>
      </c>
      <c r="G119" s="1">
        <v>6</v>
      </c>
      <c r="I119" s="6">
        <v>1050</v>
      </c>
      <c r="K119" s="18" t="str">
        <f t="shared" si="14"/>
        <v>1050 руб
NC-001
3,01/37/111,37
289,562</v>
      </c>
      <c r="L119" s="14">
        <f t="shared" si="15"/>
        <v>1737.3720000000001</v>
      </c>
    </row>
    <row r="120" spans="1:12" ht="59.25" customHeight="1" x14ac:dyDescent="0.25">
      <c r="A120" s="5" t="s">
        <v>159</v>
      </c>
      <c r="B120" s="1">
        <v>2.5</v>
      </c>
      <c r="C120" s="1">
        <v>35</v>
      </c>
      <c r="D120" s="11">
        <f t="shared" si="13"/>
        <v>87.5</v>
      </c>
      <c r="E120" s="14">
        <f t="shared" si="0"/>
        <v>227.5</v>
      </c>
      <c r="F120" s="11">
        <f t="shared" si="1"/>
        <v>796.25</v>
      </c>
      <c r="G120" s="1">
        <v>4</v>
      </c>
      <c r="I120" s="6">
        <v>800</v>
      </c>
      <c r="K120" s="18" t="str">
        <f t="shared" si="14"/>
        <v>800 руб
NC-002
2,5/35/87,5
227,5</v>
      </c>
      <c r="L120" s="14">
        <f t="shared" si="15"/>
        <v>910</v>
      </c>
    </row>
    <row r="121" spans="1:12" ht="59.25" customHeight="1" x14ac:dyDescent="0.25">
      <c r="A121" s="5" t="s">
        <v>160</v>
      </c>
      <c r="B121" s="1">
        <v>1.68</v>
      </c>
      <c r="C121" s="1">
        <v>40</v>
      </c>
      <c r="D121" s="11">
        <f t="shared" si="13"/>
        <v>67.2</v>
      </c>
      <c r="E121" s="14">
        <f t="shared" si="0"/>
        <v>174.72000000000003</v>
      </c>
      <c r="F121" s="11">
        <f t="shared" si="1"/>
        <v>611.5200000000001</v>
      </c>
      <c r="G121" s="1">
        <v>7</v>
      </c>
      <c r="I121" s="6">
        <v>650</v>
      </c>
      <c r="K121" s="18" t="str">
        <f t="shared" si="14"/>
        <v>650 руб
NC-003
1,68/40/67,2
174,72</v>
      </c>
      <c r="L121" s="14">
        <f t="shared" si="15"/>
        <v>1223.0400000000002</v>
      </c>
    </row>
    <row r="122" spans="1:12" ht="59.25" customHeight="1" x14ac:dyDescent="0.25">
      <c r="A122" s="5" t="s">
        <v>161</v>
      </c>
      <c r="B122" s="1">
        <v>4.8</v>
      </c>
      <c r="C122" s="1">
        <v>40</v>
      </c>
      <c r="D122" s="11">
        <f t="shared" si="13"/>
        <v>192</v>
      </c>
      <c r="E122" s="14">
        <f t="shared" si="0"/>
        <v>499.20000000000005</v>
      </c>
      <c r="F122" s="11">
        <f t="shared" si="1"/>
        <v>1747.2000000000003</v>
      </c>
      <c r="G122" s="1">
        <v>3</v>
      </c>
      <c r="I122" s="6">
        <v>1800</v>
      </c>
      <c r="K122" s="18" t="str">
        <f t="shared" si="14"/>
        <v>1800 руб
NC-004
4,8/40/192
499,2</v>
      </c>
      <c r="L122" s="14">
        <f t="shared" si="15"/>
        <v>1497.6000000000001</v>
      </c>
    </row>
    <row r="123" spans="1:12" ht="59.25" customHeight="1" x14ac:dyDescent="0.25">
      <c r="A123" s="7" t="s">
        <v>162</v>
      </c>
      <c r="B123" s="1">
        <v>4.5999999999999996</v>
      </c>
      <c r="C123" s="1">
        <v>35</v>
      </c>
      <c r="D123" s="11">
        <f t="shared" si="13"/>
        <v>161</v>
      </c>
      <c r="E123" s="14">
        <f t="shared" si="0"/>
        <v>418.6</v>
      </c>
      <c r="F123" s="11">
        <f t="shared" si="1"/>
        <v>1465.1000000000001</v>
      </c>
      <c r="G123" s="1">
        <v>5</v>
      </c>
      <c r="H123" s="1">
        <v>1</v>
      </c>
      <c r="I123" s="6">
        <v>1500</v>
      </c>
      <c r="K123" s="18" t="str">
        <f t="shared" si="14"/>
        <v>1500 руб
NC-005
4,6/35/161
418,6</v>
      </c>
      <c r="L123" s="14">
        <f t="shared" si="15"/>
        <v>1674.4</v>
      </c>
    </row>
    <row r="124" spans="1:12" ht="59.25" customHeight="1" x14ac:dyDescent="0.25">
      <c r="A124" s="7" t="s">
        <v>163</v>
      </c>
      <c r="B124" s="1">
        <v>5.3</v>
      </c>
      <c r="C124" s="1">
        <v>47</v>
      </c>
      <c r="D124" s="11">
        <f t="shared" si="13"/>
        <v>249.1</v>
      </c>
      <c r="E124" s="14">
        <f t="shared" si="0"/>
        <v>647.66</v>
      </c>
      <c r="F124" s="11">
        <f t="shared" si="1"/>
        <v>2266.81</v>
      </c>
      <c r="G124" s="1">
        <v>3</v>
      </c>
      <c r="H124" s="1">
        <v>2</v>
      </c>
      <c r="I124" s="6">
        <v>2300</v>
      </c>
      <c r="K124" s="18" t="str">
        <f t="shared" si="14"/>
        <v>2300 руб
NC-006
5,3/47/249,1
647,66</v>
      </c>
      <c r="L124" s="14">
        <f t="shared" si="15"/>
        <v>647.66000000000008</v>
      </c>
    </row>
    <row r="125" spans="1:12" ht="59.25" customHeight="1" x14ac:dyDescent="0.25">
      <c r="A125" s="7" t="s">
        <v>164</v>
      </c>
      <c r="B125" s="1">
        <v>5.43</v>
      </c>
      <c r="C125" s="1">
        <v>47</v>
      </c>
      <c r="D125" s="11">
        <f t="shared" si="13"/>
        <v>255.20999999999998</v>
      </c>
      <c r="E125" s="14">
        <f t="shared" si="0"/>
        <v>663.54599999999994</v>
      </c>
      <c r="F125" s="11">
        <f t="shared" si="1"/>
        <v>2322.4109999999996</v>
      </c>
      <c r="G125" s="1">
        <v>4</v>
      </c>
      <c r="H125" s="1">
        <v>2</v>
      </c>
      <c r="I125" s="6">
        <v>2400</v>
      </c>
      <c r="K125" s="18" t="str">
        <f t="shared" si="14"/>
        <v>2400 руб
NC-007
5,43/47/255,21
663,546</v>
      </c>
      <c r="L125" s="14">
        <f t="shared" si="15"/>
        <v>1327.0919999999999</v>
      </c>
    </row>
    <row r="126" spans="1:12" ht="59.25" customHeight="1" x14ac:dyDescent="0.25">
      <c r="A126" s="5" t="s">
        <v>165</v>
      </c>
      <c r="B126" s="1">
        <v>2.06</v>
      </c>
      <c r="C126" s="1">
        <v>40</v>
      </c>
      <c r="D126" s="11">
        <f t="shared" si="13"/>
        <v>82.4</v>
      </c>
      <c r="E126" s="14">
        <f t="shared" si="0"/>
        <v>214.24</v>
      </c>
      <c r="F126" s="11">
        <f t="shared" si="1"/>
        <v>749.84</v>
      </c>
      <c r="G126" s="1">
        <v>7</v>
      </c>
      <c r="I126" s="6">
        <v>800</v>
      </c>
      <c r="K126" s="18" t="str">
        <f t="shared" si="14"/>
        <v>800 руб
NC-008
2,06/40/82,4
214,24</v>
      </c>
      <c r="L126" s="14">
        <f t="shared" si="15"/>
        <v>1499.68</v>
      </c>
    </row>
    <row r="127" spans="1:12" ht="59.25" customHeight="1" x14ac:dyDescent="0.25">
      <c r="A127" s="7" t="s">
        <v>166</v>
      </c>
      <c r="B127" s="1">
        <v>1.85</v>
      </c>
      <c r="C127" s="1">
        <v>32</v>
      </c>
      <c r="D127" s="11">
        <f t="shared" si="13"/>
        <v>59.2</v>
      </c>
      <c r="E127" s="14">
        <f t="shared" si="0"/>
        <v>153.92000000000002</v>
      </c>
      <c r="F127" s="11">
        <f t="shared" si="1"/>
        <v>538.72</v>
      </c>
      <c r="G127" s="1">
        <v>2</v>
      </c>
      <c r="H127" s="1">
        <v>1</v>
      </c>
      <c r="I127" s="6">
        <v>550</v>
      </c>
      <c r="K127" s="18" t="str">
        <f t="shared" si="14"/>
        <v>550 руб
NC-009
1,85/32/59,2
153,92</v>
      </c>
      <c r="L127" s="14">
        <f t="shared" si="15"/>
        <v>153.92000000000002</v>
      </c>
    </row>
    <row r="128" spans="1:12" ht="59.25" customHeight="1" x14ac:dyDescent="0.25">
      <c r="A128" s="5" t="s">
        <v>167</v>
      </c>
      <c r="B128" s="1">
        <v>7.72</v>
      </c>
      <c r="C128" s="1">
        <v>28</v>
      </c>
      <c r="D128" s="11">
        <f t="shared" si="13"/>
        <v>216.16</v>
      </c>
      <c r="E128" s="14">
        <f t="shared" si="0"/>
        <v>562.01599999999996</v>
      </c>
      <c r="F128" s="11">
        <f t="shared" si="1"/>
        <v>1967.0559999999998</v>
      </c>
      <c r="G128" s="6">
        <v>1</v>
      </c>
      <c r="I128" s="6">
        <v>2000</v>
      </c>
      <c r="K128" s="18" t="str">
        <f t="shared" si="14"/>
        <v>2000 руб
NC-010
7,72/28/216,16
562,016</v>
      </c>
      <c r="L128" s="14">
        <f t="shared" si="15"/>
        <v>562.01599999999996</v>
      </c>
    </row>
    <row r="129" spans="1:12" ht="59.25" customHeight="1" x14ac:dyDescent="0.25">
      <c r="A129" s="5" t="s">
        <v>168</v>
      </c>
      <c r="B129" s="1">
        <v>3.65</v>
      </c>
      <c r="C129" s="1">
        <v>37</v>
      </c>
      <c r="D129" s="11">
        <f t="shared" si="13"/>
        <v>135.04999999999998</v>
      </c>
      <c r="E129" s="14">
        <f t="shared" si="0"/>
        <v>351.13</v>
      </c>
      <c r="F129" s="11">
        <f t="shared" si="1"/>
        <v>1228.9549999999999</v>
      </c>
      <c r="G129" s="1">
        <v>7</v>
      </c>
      <c r="I129" s="6">
        <v>1300</v>
      </c>
      <c r="K129" s="18" t="str">
        <f t="shared" si="14"/>
        <v>1300 руб
NC-011
3,65/37/135,05
351,13</v>
      </c>
      <c r="L129" s="14">
        <f t="shared" si="15"/>
        <v>2457.91</v>
      </c>
    </row>
    <row r="130" spans="1:12" ht="59.25" customHeight="1" x14ac:dyDescent="0.25">
      <c r="A130" s="5" t="s">
        <v>169</v>
      </c>
      <c r="B130" s="1">
        <v>6.13</v>
      </c>
      <c r="C130" s="1">
        <v>47</v>
      </c>
      <c r="D130" s="11">
        <f t="shared" si="13"/>
        <v>288.11</v>
      </c>
      <c r="E130" s="14">
        <f t="shared" si="0"/>
        <v>749.08600000000001</v>
      </c>
      <c r="F130" s="11">
        <f t="shared" si="1"/>
        <v>2621.8009999999999</v>
      </c>
      <c r="G130" s="6">
        <v>1</v>
      </c>
      <c r="I130" s="6">
        <v>2700</v>
      </c>
      <c r="K130" s="18" t="str">
        <f t="shared" si="14"/>
        <v>2700 руб
NC-012
6,13/47/288,11
749,086</v>
      </c>
      <c r="L130" s="14">
        <f t="shared" si="15"/>
        <v>749.08600000000001</v>
      </c>
    </row>
    <row r="131" spans="1:12" ht="59.25" customHeight="1" x14ac:dyDescent="0.25">
      <c r="A131" s="5" t="s">
        <v>170</v>
      </c>
      <c r="B131" s="1">
        <v>4.07</v>
      </c>
      <c r="C131" s="1">
        <v>35</v>
      </c>
      <c r="D131" s="11">
        <f t="shared" si="13"/>
        <v>142.45000000000002</v>
      </c>
      <c r="E131" s="14">
        <f t="shared" si="0"/>
        <v>370.37000000000006</v>
      </c>
      <c r="F131" s="11">
        <f t="shared" si="1"/>
        <v>1296.2950000000003</v>
      </c>
      <c r="G131" s="1">
        <v>9</v>
      </c>
      <c r="I131" s="6">
        <v>1300</v>
      </c>
      <c r="K131" s="18" t="str">
        <f t="shared" ref="K131:K168" si="16">I131&amp;" руб
"&amp;A131&amp;"
"&amp;B131&amp;"/" &amp;IF(OR(C131="",C131=1),D131,C131)&amp;"/"&amp;D131&amp;"
"&amp;E131</f>
        <v>1300 руб
NC-013
4,07/35/142,45
370,37</v>
      </c>
      <c r="L131" s="14">
        <f t="shared" ref="L131:L170" si="17">E131*G131-E131*H131</f>
        <v>3333.3300000000004</v>
      </c>
    </row>
    <row r="132" spans="1:12" ht="59.25" customHeight="1" x14ac:dyDescent="0.25">
      <c r="A132" s="5" t="s">
        <v>171</v>
      </c>
      <c r="B132" s="1">
        <v>13.37</v>
      </c>
      <c r="C132" s="1">
        <v>65</v>
      </c>
      <c r="D132" s="11">
        <f t="shared" si="13"/>
        <v>869.05</v>
      </c>
      <c r="E132" s="14">
        <f t="shared" si="0"/>
        <v>2259.5299999999997</v>
      </c>
      <c r="F132" s="11">
        <f t="shared" si="1"/>
        <v>7908.3549999999996</v>
      </c>
      <c r="G132" s="6">
        <v>1</v>
      </c>
      <c r="I132" s="6">
        <v>8000</v>
      </c>
      <c r="K132" s="18" t="str">
        <f t="shared" si="16"/>
        <v>8000 руб
ST-001
13,37/65/869,05
2259,53</v>
      </c>
      <c r="L132" s="14">
        <f t="shared" si="17"/>
        <v>2259.5299999999997</v>
      </c>
    </row>
    <row r="133" spans="1:12" ht="59.25" customHeight="1" x14ac:dyDescent="0.25">
      <c r="A133" s="5" t="s">
        <v>172</v>
      </c>
      <c r="B133" s="1">
        <v>17.010000000000002</v>
      </c>
      <c r="C133" s="1">
        <v>75</v>
      </c>
      <c r="D133" s="11">
        <f t="shared" si="13"/>
        <v>1275.7500000000002</v>
      </c>
      <c r="E133" s="14">
        <f t="shared" si="0"/>
        <v>3316.9500000000007</v>
      </c>
      <c r="F133" s="11">
        <f t="shared" si="1"/>
        <v>11609.325000000003</v>
      </c>
      <c r="G133" s="6">
        <v>1</v>
      </c>
      <c r="I133" s="6">
        <v>12000</v>
      </c>
      <c r="K133" s="18" t="str">
        <f t="shared" si="16"/>
        <v>12000 руб
ST-002
17,01/75/1275,75
3316,95</v>
      </c>
      <c r="L133" s="14">
        <f t="shared" si="17"/>
        <v>3316.9500000000007</v>
      </c>
    </row>
    <row r="134" spans="1:12" ht="59.25" customHeight="1" x14ac:dyDescent="0.25">
      <c r="A134" s="5" t="s">
        <v>173</v>
      </c>
      <c r="B134" s="1">
        <v>15.63</v>
      </c>
      <c r="C134" s="1">
        <v>65</v>
      </c>
      <c r="D134" s="11">
        <f t="shared" si="13"/>
        <v>1015.95</v>
      </c>
      <c r="E134" s="14">
        <f t="shared" si="0"/>
        <v>2641.4700000000003</v>
      </c>
      <c r="F134" s="11">
        <f t="shared" si="1"/>
        <v>9245.1450000000004</v>
      </c>
      <c r="G134" s="6">
        <v>1</v>
      </c>
      <c r="I134" s="6">
        <v>1000</v>
      </c>
      <c r="K134" s="18" t="str">
        <f t="shared" si="16"/>
        <v>1000 руб
ST-003
15,63/65/1015,95
2641,47</v>
      </c>
      <c r="L134" s="14">
        <f t="shared" si="17"/>
        <v>2641.4700000000003</v>
      </c>
    </row>
    <row r="135" spans="1:12" ht="59.25" customHeight="1" x14ac:dyDescent="0.25">
      <c r="A135" s="5" t="s">
        <v>174</v>
      </c>
      <c r="B135" s="1">
        <v>9.76</v>
      </c>
      <c r="C135" s="1">
        <v>70</v>
      </c>
      <c r="D135" s="11">
        <f t="shared" si="13"/>
        <v>683.19999999999993</v>
      </c>
      <c r="E135" s="14">
        <f t="shared" si="0"/>
        <v>1776.32</v>
      </c>
      <c r="F135" s="11">
        <f t="shared" si="1"/>
        <v>6217.12</v>
      </c>
      <c r="G135" s="6">
        <v>1</v>
      </c>
      <c r="I135" s="6">
        <v>6500</v>
      </c>
      <c r="K135" s="18" t="str">
        <f t="shared" si="16"/>
        <v>6500 руб
ST-004
9,76/70/683,2
1776,32</v>
      </c>
      <c r="L135" s="14">
        <f t="shared" si="17"/>
        <v>1776.32</v>
      </c>
    </row>
    <row r="136" spans="1:12" ht="59.25" customHeight="1" x14ac:dyDescent="0.25">
      <c r="A136" s="5" t="s">
        <v>175</v>
      </c>
      <c r="B136" s="1">
        <v>18.329999999999998</v>
      </c>
      <c r="C136" s="1">
        <v>75</v>
      </c>
      <c r="D136" s="11">
        <f t="shared" si="13"/>
        <v>1374.7499999999998</v>
      </c>
      <c r="E136" s="14">
        <f t="shared" si="0"/>
        <v>3574.3499999999995</v>
      </c>
      <c r="F136" s="11">
        <f t="shared" si="1"/>
        <v>12510.224999999999</v>
      </c>
      <c r="G136" s="6">
        <v>1</v>
      </c>
      <c r="I136" s="6">
        <v>13000</v>
      </c>
      <c r="K136" s="18" t="str">
        <f t="shared" si="16"/>
        <v>13000 руб
ST-005
18,33/75/1374,75
3574,35</v>
      </c>
      <c r="L136" s="14">
        <f t="shared" si="17"/>
        <v>3574.3499999999995</v>
      </c>
    </row>
    <row r="137" spans="1:12" ht="59.25" customHeight="1" x14ac:dyDescent="0.25">
      <c r="A137" s="3" t="s">
        <v>176</v>
      </c>
      <c r="B137" s="1">
        <v>10.01</v>
      </c>
      <c r="C137" s="1">
        <v>70</v>
      </c>
      <c r="D137" s="11">
        <f t="shared" si="13"/>
        <v>700.69999999999993</v>
      </c>
      <c r="E137" s="14">
        <f t="shared" si="0"/>
        <v>1821.82</v>
      </c>
      <c r="F137" s="11">
        <f t="shared" si="1"/>
        <v>6376.37</v>
      </c>
      <c r="G137" s="6">
        <v>1</v>
      </c>
      <c r="I137" s="6">
        <v>6400</v>
      </c>
      <c r="K137" s="18" t="str">
        <f t="shared" si="16"/>
        <v>6400 руб
ST-006
10,01/70/700,7
1821,82</v>
      </c>
      <c r="L137" s="14">
        <f t="shared" si="17"/>
        <v>1821.82</v>
      </c>
    </row>
    <row r="138" spans="1:12" ht="59.25" customHeight="1" x14ac:dyDescent="0.25">
      <c r="A138" s="5" t="s">
        <v>177</v>
      </c>
      <c r="B138" s="1">
        <v>13.5</v>
      </c>
      <c r="C138" s="1">
        <v>75</v>
      </c>
      <c r="D138" s="11">
        <f t="shared" si="13"/>
        <v>1012.5</v>
      </c>
      <c r="E138" s="14">
        <f t="shared" si="0"/>
        <v>2632.5</v>
      </c>
      <c r="F138" s="11">
        <f t="shared" si="1"/>
        <v>9213.75</v>
      </c>
      <c r="G138" s="6">
        <v>1</v>
      </c>
      <c r="I138" s="6">
        <v>10000</v>
      </c>
      <c r="K138" s="18" t="str">
        <f t="shared" si="16"/>
        <v>10000 руб
ST-007
13,5/75/1012,5
2632,5</v>
      </c>
      <c r="L138" s="14">
        <f t="shared" si="17"/>
        <v>2632.5</v>
      </c>
    </row>
    <row r="139" spans="1:12" ht="59.25" customHeight="1" x14ac:dyDescent="0.25">
      <c r="A139" s="3" t="s">
        <v>178</v>
      </c>
      <c r="B139" s="1">
        <v>9.5</v>
      </c>
      <c r="C139" s="1">
        <v>1</v>
      </c>
      <c r="D139" s="11">
        <f t="shared" si="13"/>
        <v>9.5</v>
      </c>
      <c r="E139" s="14">
        <f t="shared" si="0"/>
        <v>24.7</v>
      </c>
      <c r="F139" s="11">
        <f t="shared" si="1"/>
        <v>86.45</v>
      </c>
      <c r="G139" s="6">
        <v>1</v>
      </c>
      <c r="K139" s="18" t="str">
        <f t="shared" si="16"/>
        <v xml:space="preserve"> руб
ST-008
9,5/9,5/9,5
24,7</v>
      </c>
      <c r="L139" s="14">
        <f t="shared" si="17"/>
        <v>24.7</v>
      </c>
    </row>
    <row r="140" spans="1:12" ht="59.25" customHeight="1" x14ac:dyDescent="0.25">
      <c r="A140" s="5" t="s">
        <v>153</v>
      </c>
      <c r="B140" s="1">
        <v>2.0299999999999998</v>
      </c>
      <c r="C140" s="1">
        <v>33</v>
      </c>
      <c r="D140" s="11">
        <f t="shared" si="13"/>
        <v>66.989999999999995</v>
      </c>
      <c r="E140" s="14">
        <f t="shared" si="0"/>
        <v>174.17400000000001</v>
      </c>
      <c r="F140" s="11">
        <f t="shared" si="1"/>
        <v>609.60900000000004</v>
      </c>
      <c r="G140" s="1">
        <v>2</v>
      </c>
      <c r="I140" s="6">
        <v>610</v>
      </c>
      <c r="K140" s="18" t="str">
        <f t="shared" si="16"/>
        <v>610 руб
ER-118
2,03/33/66,99
174,174</v>
      </c>
      <c r="L140" s="14">
        <f t="shared" si="17"/>
        <v>348.34800000000001</v>
      </c>
    </row>
    <row r="141" spans="1:12" ht="59.25" customHeight="1" x14ac:dyDescent="0.25">
      <c r="A141" s="5" t="s">
        <v>179</v>
      </c>
      <c r="B141" s="1">
        <v>4.53</v>
      </c>
      <c r="C141" s="1">
        <v>69</v>
      </c>
      <c r="D141" s="11">
        <f t="shared" si="13"/>
        <v>312.57</v>
      </c>
      <c r="E141" s="14">
        <f t="shared" si="0"/>
        <v>812.68200000000002</v>
      </c>
      <c r="F141" s="11">
        <f t="shared" si="1"/>
        <v>2844.3870000000002</v>
      </c>
      <c r="G141" s="1">
        <v>2</v>
      </c>
      <c r="I141" s="6">
        <v>2900</v>
      </c>
      <c r="K141" s="18" t="str">
        <f t="shared" si="16"/>
        <v>2900 руб
ER-PN-001
4,53/69/312,57
812,682</v>
      </c>
      <c r="L141" s="14">
        <f t="shared" si="17"/>
        <v>1625.364</v>
      </c>
    </row>
    <row r="142" spans="1:12" ht="59.25" customHeight="1" x14ac:dyDescent="0.25">
      <c r="A142" s="3" t="s">
        <v>180</v>
      </c>
      <c r="B142" s="1">
        <v>1.55</v>
      </c>
      <c r="C142" s="1">
        <v>52</v>
      </c>
      <c r="D142" s="11">
        <f t="shared" si="13"/>
        <v>80.600000000000009</v>
      </c>
      <c r="E142" s="14">
        <f t="shared" si="0"/>
        <v>209.56000000000003</v>
      </c>
      <c r="F142" s="11">
        <f t="shared" si="1"/>
        <v>733.46000000000015</v>
      </c>
      <c r="G142" s="6">
        <v>1</v>
      </c>
      <c r="I142" s="6">
        <v>750</v>
      </c>
      <c r="K142" s="18" t="str">
        <f t="shared" si="16"/>
        <v>750 руб
BR-001
1,55/52/80,6
209,56</v>
      </c>
      <c r="L142" s="14">
        <f t="shared" si="17"/>
        <v>209.56000000000003</v>
      </c>
    </row>
    <row r="143" spans="1:12" ht="59.25" customHeight="1" x14ac:dyDescent="0.25">
      <c r="A143" s="7" t="s">
        <v>181</v>
      </c>
      <c r="B143" s="1">
        <v>1.1499999999999999</v>
      </c>
      <c r="C143" s="1">
        <v>38</v>
      </c>
      <c r="D143" s="11">
        <f t="shared" si="13"/>
        <v>43.699999999999996</v>
      </c>
      <c r="E143" s="14">
        <f t="shared" si="0"/>
        <v>113.61999999999999</v>
      </c>
      <c r="F143" s="11">
        <f t="shared" si="1"/>
        <v>397.66999999999996</v>
      </c>
      <c r="G143" s="1">
        <v>3</v>
      </c>
      <c r="H143" s="1">
        <v>1</v>
      </c>
      <c r="I143" s="6">
        <v>450</v>
      </c>
      <c r="K143" s="18" t="str">
        <f t="shared" si="16"/>
        <v>450 руб
BR-002
1,15/38/43,7
113,62</v>
      </c>
      <c r="L143" s="14">
        <f t="shared" si="17"/>
        <v>227.23999999999995</v>
      </c>
    </row>
    <row r="144" spans="1:12" ht="59.25" customHeight="1" x14ac:dyDescent="0.25">
      <c r="A144" s="5" t="s">
        <v>182</v>
      </c>
      <c r="B144" s="1">
        <v>1</v>
      </c>
      <c r="C144" s="1">
        <v>83</v>
      </c>
      <c r="D144" s="11">
        <f t="shared" si="13"/>
        <v>83</v>
      </c>
      <c r="E144" s="14">
        <f t="shared" si="0"/>
        <v>215.8</v>
      </c>
      <c r="F144" s="11">
        <f t="shared" si="1"/>
        <v>755.30000000000007</v>
      </c>
      <c r="G144" s="6">
        <v>1</v>
      </c>
      <c r="I144" s="6">
        <v>800</v>
      </c>
      <c r="K144" s="18" t="str">
        <f t="shared" si="16"/>
        <v>800 руб
BR-003
1/83/83
215,8</v>
      </c>
      <c r="L144" s="14">
        <f t="shared" si="17"/>
        <v>215.8</v>
      </c>
    </row>
    <row r="145" spans="1:12" ht="59.25" customHeight="1" x14ac:dyDescent="0.25">
      <c r="A145" s="5" t="s">
        <v>183</v>
      </c>
      <c r="B145" s="1">
        <v>4.29</v>
      </c>
      <c r="C145" s="1">
        <v>48</v>
      </c>
      <c r="D145" s="11">
        <f t="shared" si="13"/>
        <v>205.92000000000002</v>
      </c>
      <c r="E145" s="14">
        <f t="shared" si="0"/>
        <v>535.39200000000005</v>
      </c>
      <c r="F145" s="11">
        <f t="shared" si="1"/>
        <v>1873.8720000000003</v>
      </c>
      <c r="G145" s="6">
        <v>1</v>
      </c>
      <c r="I145" s="6">
        <v>1900</v>
      </c>
      <c r="K145" s="18" t="str">
        <f t="shared" si="16"/>
        <v>1900 руб
BR-004
4,29/48/205,92
535,392</v>
      </c>
      <c r="L145" s="14">
        <f t="shared" si="17"/>
        <v>535.39200000000005</v>
      </c>
    </row>
    <row r="146" spans="1:12" ht="59.25" customHeight="1" x14ac:dyDescent="0.25">
      <c r="A146" s="5" t="s">
        <v>184</v>
      </c>
      <c r="B146" s="1">
        <v>1</v>
      </c>
      <c r="C146" s="1">
        <v>89</v>
      </c>
      <c r="D146" s="11">
        <f t="shared" si="13"/>
        <v>89</v>
      </c>
      <c r="E146" s="14">
        <f t="shared" si="0"/>
        <v>231.4</v>
      </c>
      <c r="F146" s="11">
        <f t="shared" si="1"/>
        <v>809.9</v>
      </c>
      <c r="G146" s="6">
        <v>1</v>
      </c>
      <c r="I146" s="6">
        <v>850</v>
      </c>
      <c r="K146" s="18" t="str">
        <f t="shared" si="16"/>
        <v>850 руб
BR-005
1/89/89
231,4</v>
      </c>
      <c r="L146" s="14">
        <f t="shared" si="17"/>
        <v>231.4</v>
      </c>
    </row>
    <row r="147" spans="1:12" ht="59.25" customHeight="1" x14ac:dyDescent="0.25">
      <c r="A147" s="5" t="s">
        <v>185</v>
      </c>
      <c r="B147" s="1">
        <v>6.95</v>
      </c>
      <c r="C147" s="1">
        <v>26</v>
      </c>
      <c r="D147" s="11">
        <f t="shared" si="13"/>
        <v>180.70000000000002</v>
      </c>
      <c r="E147" s="14">
        <f t="shared" si="0"/>
        <v>469.82000000000005</v>
      </c>
      <c r="F147" s="11">
        <f t="shared" si="1"/>
        <v>1644.3700000000001</v>
      </c>
      <c r="G147" s="6">
        <v>1</v>
      </c>
      <c r="I147" s="6">
        <v>1700</v>
      </c>
      <c r="K147" s="18" t="str">
        <f t="shared" si="16"/>
        <v>1700 руб
BR-006
6,95/26/180,7
469,82</v>
      </c>
      <c r="L147" s="14">
        <f t="shared" si="17"/>
        <v>469.82000000000005</v>
      </c>
    </row>
    <row r="148" spans="1:12" ht="59.25" customHeight="1" x14ac:dyDescent="0.25">
      <c r="A148" s="5" t="s">
        <v>186</v>
      </c>
      <c r="B148" s="1">
        <v>2.15</v>
      </c>
      <c r="C148" s="1">
        <v>52</v>
      </c>
      <c r="D148" s="11">
        <f t="shared" si="13"/>
        <v>111.8</v>
      </c>
      <c r="E148" s="14">
        <f t="shared" si="0"/>
        <v>290.68</v>
      </c>
      <c r="F148" s="11">
        <f t="shared" si="1"/>
        <v>1017.38</v>
      </c>
      <c r="G148" s="6">
        <v>1</v>
      </c>
      <c r="I148" s="6">
        <v>1100</v>
      </c>
      <c r="K148" s="18" t="str">
        <f t="shared" si="16"/>
        <v>1100 руб
BR-007
2,15/52/111,8
290,68</v>
      </c>
      <c r="L148" s="14">
        <f t="shared" si="17"/>
        <v>290.68</v>
      </c>
    </row>
    <row r="149" spans="1:12" ht="59.25" customHeight="1" x14ac:dyDescent="0.25">
      <c r="A149" s="5" t="s">
        <v>187</v>
      </c>
      <c r="B149" s="1">
        <v>2.15</v>
      </c>
      <c r="C149" s="1">
        <v>52</v>
      </c>
      <c r="D149" s="11">
        <f t="shared" si="13"/>
        <v>111.8</v>
      </c>
      <c r="E149" s="14">
        <f t="shared" si="0"/>
        <v>290.68</v>
      </c>
      <c r="F149" s="11">
        <f t="shared" si="1"/>
        <v>1017.38</v>
      </c>
      <c r="G149" s="6">
        <v>1</v>
      </c>
      <c r="I149" s="6">
        <v>1100</v>
      </c>
      <c r="K149" s="18" t="str">
        <f t="shared" si="16"/>
        <v>1100 руб
BR-008
2,15/52/111,8
290,68</v>
      </c>
      <c r="L149" s="14">
        <f t="shared" si="17"/>
        <v>290.68</v>
      </c>
    </row>
    <row r="150" spans="1:12" ht="59.25" customHeight="1" x14ac:dyDescent="0.25">
      <c r="A150" s="5" t="s">
        <v>188</v>
      </c>
      <c r="B150" s="1">
        <v>7.17</v>
      </c>
      <c r="C150" s="1">
        <v>38</v>
      </c>
      <c r="D150" s="11">
        <f t="shared" si="13"/>
        <v>272.45999999999998</v>
      </c>
      <c r="E150" s="14">
        <f t="shared" si="0"/>
        <v>708.39599999999996</v>
      </c>
      <c r="F150" s="11">
        <f t="shared" si="1"/>
        <v>2479.386</v>
      </c>
      <c r="G150" s="1">
        <v>2</v>
      </c>
      <c r="I150" s="6">
        <v>2500</v>
      </c>
      <c r="K150" s="18" t="str">
        <f t="shared" si="16"/>
        <v>2500 руб
BR-009
7,17/38/272,46
708,396</v>
      </c>
      <c r="L150" s="14">
        <f t="shared" si="17"/>
        <v>1416.7919999999999</v>
      </c>
    </row>
    <row r="151" spans="1:12" ht="59.25" customHeight="1" x14ac:dyDescent="0.25">
      <c r="A151" s="5" t="s">
        <v>189</v>
      </c>
      <c r="B151" s="1">
        <v>9.86</v>
      </c>
      <c r="C151" s="1">
        <v>90</v>
      </c>
      <c r="D151" s="11">
        <f t="shared" si="13"/>
        <v>887.4</v>
      </c>
      <c r="E151" s="14">
        <f t="shared" si="0"/>
        <v>2307.2400000000002</v>
      </c>
      <c r="F151" s="11">
        <f t="shared" si="1"/>
        <v>8075.3400000000011</v>
      </c>
      <c r="G151" s="6">
        <v>1</v>
      </c>
      <c r="I151" s="6">
        <v>8100</v>
      </c>
      <c r="K151" s="18" t="str">
        <f t="shared" si="16"/>
        <v>8100 руб
BR-010
9,86/90/887,4
2307,24</v>
      </c>
      <c r="L151" s="14">
        <f t="shared" si="17"/>
        <v>2307.2400000000002</v>
      </c>
    </row>
    <row r="152" spans="1:12" ht="59.25" customHeight="1" x14ac:dyDescent="0.25">
      <c r="A152" s="3" t="s">
        <v>190</v>
      </c>
      <c r="B152" s="1">
        <v>5.57</v>
      </c>
      <c r="C152" s="1">
        <v>48</v>
      </c>
      <c r="D152" s="11">
        <f t="shared" si="13"/>
        <v>267.36</v>
      </c>
      <c r="E152" s="14">
        <f t="shared" si="0"/>
        <v>695.13600000000008</v>
      </c>
      <c r="F152" s="11">
        <f t="shared" si="1"/>
        <v>2432.9760000000001</v>
      </c>
      <c r="G152" s="6">
        <v>1</v>
      </c>
      <c r="I152" s="6">
        <v>2500</v>
      </c>
      <c r="K152" s="18" t="str">
        <f t="shared" si="16"/>
        <v>2500 руб
BR-011
5,57/48/267,36
695,136</v>
      </c>
      <c r="L152" s="14">
        <f t="shared" si="17"/>
        <v>695.13600000000008</v>
      </c>
    </row>
    <row r="153" spans="1:12" ht="59.25" customHeight="1" x14ac:dyDescent="0.25">
      <c r="A153" s="3" t="s">
        <v>191</v>
      </c>
      <c r="B153" s="1">
        <v>2.2599999999999998</v>
      </c>
      <c r="C153" s="1">
        <v>150</v>
      </c>
      <c r="D153" s="11">
        <v>150</v>
      </c>
      <c r="E153" s="14">
        <f t="shared" si="0"/>
        <v>390</v>
      </c>
      <c r="F153" s="11">
        <f t="shared" si="1"/>
        <v>1365</v>
      </c>
      <c r="G153" s="1">
        <v>2</v>
      </c>
      <c r="I153" s="6">
        <v>1400</v>
      </c>
      <c r="K153" s="18" t="str">
        <f t="shared" si="16"/>
        <v>1400 руб
BR-012
2,26/150/150
390</v>
      </c>
      <c r="L153" s="14">
        <f t="shared" si="17"/>
        <v>780</v>
      </c>
    </row>
    <row r="154" spans="1:12" ht="59.25" customHeight="1" x14ac:dyDescent="0.25">
      <c r="A154" s="5" t="s">
        <v>192</v>
      </c>
      <c r="B154" s="1">
        <v>10.06</v>
      </c>
      <c r="C154" s="1">
        <v>75</v>
      </c>
      <c r="D154" s="11">
        <f t="shared" si="13"/>
        <v>754.5</v>
      </c>
      <c r="E154" s="14">
        <f t="shared" si="0"/>
        <v>1961.7</v>
      </c>
      <c r="F154" s="11">
        <f t="shared" si="1"/>
        <v>6865.95</v>
      </c>
      <c r="G154" s="6">
        <v>1</v>
      </c>
      <c r="I154" s="6">
        <v>7000</v>
      </c>
      <c r="K154" s="18" t="str">
        <f t="shared" si="16"/>
        <v>7000 руб
BR-013
10,06/75/754,5
1961,7</v>
      </c>
      <c r="L154" s="14">
        <f t="shared" si="17"/>
        <v>1961.7</v>
      </c>
    </row>
    <row r="155" spans="1:12" ht="59.25" customHeight="1" x14ac:dyDescent="0.25">
      <c r="A155" s="5" t="s">
        <v>193</v>
      </c>
      <c r="B155" s="1">
        <v>1.2</v>
      </c>
      <c r="C155" s="1">
        <v>95</v>
      </c>
      <c r="D155" s="11">
        <f t="shared" si="13"/>
        <v>114</v>
      </c>
      <c r="E155" s="14">
        <f t="shared" si="0"/>
        <v>296.40000000000003</v>
      </c>
      <c r="F155" s="11">
        <f t="shared" si="1"/>
        <v>1037.4000000000001</v>
      </c>
      <c r="G155" s="6">
        <v>1</v>
      </c>
      <c r="I155" s="6">
        <v>1100</v>
      </c>
      <c r="K155" s="18" t="str">
        <f t="shared" si="16"/>
        <v>1100 руб
BR-014
1,2/95/114
296,4</v>
      </c>
      <c r="L155" s="14">
        <f t="shared" si="17"/>
        <v>296.40000000000003</v>
      </c>
    </row>
    <row r="156" spans="1:12" ht="59.25" customHeight="1" x14ac:dyDescent="0.25">
      <c r="A156" s="5" t="s">
        <v>194</v>
      </c>
      <c r="B156" s="1">
        <v>17.66</v>
      </c>
      <c r="C156" s="1">
        <v>75</v>
      </c>
      <c r="D156" s="11">
        <f t="shared" si="13"/>
        <v>1324.5</v>
      </c>
      <c r="E156" s="14">
        <f t="shared" si="0"/>
        <v>3443.7000000000003</v>
      </c>
      <c r="F156" s="11">
        <f t="shared" si="1"/>
        <v>12052.95</v>
      </c>
      <c r="G156" s="6">
        <v>1</v>
      </c>
      <c r="I156" s="6">
        <v>12000</v>
      </c>
      <c r="K156" s="18" t="str">
        <f t="shared" si="16"/>
        <v>12000 руб
BR-015
17,66/75/1324,5
3443,7</v>
      </c>
      <c r="L156" s="14">
        <f t="shared" si="17"/>
        <v>3443.7000000000003</v>
      </c>
    </row>
    <row r="157" spans="1:12" ht="59.25" customHeight="1" x14ac:dyDescent="0.25">
      <c r="A157" s="5" t="s">
        <v>195</v>
      </c>
      <c r="B157" s="1">
        <v>7.19</v>
      </c>
      <c r="C157" s="1">
        <v>32</v>
      </c>
      <c r="D157" s="11">
        <f t="shared" si="13"/>
        <v>230.08</v>
      </c>
      <c r="E157" s="14">
        <f t="shared" si="0"/>
        <v>598.20800000000008</v>
      </c>
      <c r="F157" s="11">
        <f t="shared" si="1"/>
        <v>2093.7280000000001</v>
      </c>
      <c r="G157" s="6">
        <v>1</v>
      </c>
      <c r="I157" s="6">
        <v>2100</v>
      </c>
      <c r="K157" s="18" t="str">
        <f t="shared" si="16"/>
        <v>2100 руб
BR-016
7,19/32/230,08
598,208</v>
      </c>
      <c r="L157" s="14">
        <f t="shared" si="17"/>
        <v>598.20800000000008</v>
      </c>
    </row>
    <row r="158" spans="1:12" ht="59.25" customHeight="1" x14ac:dyDescent="0.25">
      <c r="A158" s="5" t="s">
        <v>196</v>
      </c>
      <c r="B158" s="1">
        <v>6.81</v>
      </c>
      <c r="C158" s="1">
        <v>32</v>
      </c>
      <c r="D158" s="11">
        <f t="shared" si="13"/>
        <v>217.92</v>
      </c>
      <c r="E158" s="14">
        <f t="shared" si="0"/>
        <v>566.59199999999998</v>
      </c>
      <c r="F158" s="11">
        <f t="shared" si="1"/>
        <v>1983.0719999999999</v>
      </c>
      <c r="G158" s="6">
        <v>1</v>
      </c>
      <c r="I158" s="6">
        <v>2000</v>
      </c>
      <c r="K158" s="18" t="str">
        <f t="shared" si="16"/>
        <v>2000 руб
BR-017
6,81/32/217,92
566,592</v>
      </c>
      <c r="L158" s="14">
        <f t="shared" si="17"/>
        <v>566.59199999999998</v>
      </c>
    </row>
    <row r="159" spans="1:12" ht="59.25" customHeight="1" x14ac:dyDescent="0.25">
      <c r="A159" s="5" t="s">
        <v>197</v>
      </c>
      <c r="B159" s="1">
        <v>7.34</v>
      </c>
      <c r="C159" s="1">
        <v>31</v>
      </c>
      <c r="D159" s="11">
        <f t="shared" si="13"/>
        <v>227.54</v>
      </c>
      <c r="E159" s="14">
        <f t="shared" si="0"/>
        <v>591.60400000000004</v>
      </c>
      <c r="F159" s="11">
        <f t="shared" si="1"/>
        <v>2070.614</v>
      </c>
      <c r="G159" s="6">
        <v>1</v>
      </c>
      <c r="I159" s="6">
        <v>2100</v>
      </c>
      <c r="K159" s="18" t="str">
        <f t="shared" si="16"/>
        <v>2100 руб
BR-018
7,34/31/227,54
591,604</v>
      </c>
      <c r="L159" s="14">
        <f t="shared" si="17"/>
        <v>591.60400000000004</v>
      </c>
    </row>
    <row r="160" spans="1:12" ht="59.25" customHeight="1" x14ac:dyDescent="0.25">
      <c r="A160" s="10" t="s">
        <v>204</v>
      </c>
      <c r="B160" s="1">
        <v>6.95</v>
      </c>
      <c r="C160" s="1">
        <v>26</v>
      </c>
      <c r="D160" s="11">
        <f t="shared" ref="D160" si="18">C160*B160</f>
        <v>180.70000000000002</v>
      </c>
      <c r="E160" s="14">
        <f t="shared" ref="E160" si="19">D160*2.6</f>
        <v>469.82000000000005</v>
      </c>
      <c r="F160" s="11">
        <f t="shared" ref="F160" si="20">E160*3.5</f>
        <v>1644.3700000000001</v>
      </c>
      <c r="G160" s="1">
        <v>2</v>
      </c>
      <c r="H160" s="1">
        <v>1</v>
      </c>
      <c r="I160" s="6">
        <v>1700</v>
      </c>
      <c r="K160" s="18" t="str">
        <f t="shared" si="16"/>
        <v>1700 руб
BR-019
6,95/26/180,7
469,82</v>
      </c>
      <c r="L160" s="14">
        <f t="shared" si="17"/>
        <v>469.82000000000005</v>
      </c>
    </row>
    <row r="161" spans="1:12" ht="59.25" customHeight="1" x14ac:dyDescent="0.25">
      <c r="A161" s="5" t="s">
        <v>198</v>
      </c>
      <c r="B161" s="1">
        <v>21.4</v>
      </c>
      <c r="C161" s="1">
        <v>40</v>
      </c>
      <c r="D161" s="11">
        <f t="shared" ref="D161:D166" si="21">C161*B161</f>
        <v>856</v>
      </c>
      <c r="E161" s="14">
        <f t="shared" ref="E161:E168" si="22">D161*2.6</f>
        <v>2225.6</v>
      </c>
      <c r="F161" s="11">
        <f t="shared" ref="F161:F168" si="23">E161*3.5</f>
        <v>7789.5999999999995</v>
      </c>
      <c r="G161" s="6">
        <v>1</v>
      </c>
      <c r="I161" s="6">
        <v>8000</v>
      </c>
      <c r="K161" s="18" t="str">
        <f t="shared" si="16"/>
        <v>8000 руб
PN-001
21,4/40/856
2225,6</v>
      </c>
      <c r="L161" s="14">
        <f t="shared" si="17"/>
        <v>2225.6</v>
      </c>
    </row>
    <row r="162" spans="1:12" ht="59.25" customHeight="1" x14ac:dyDescent="0.25">
      <c r="A162" s="5" t="s">
        <v>199</v>
      </c>
      <c r="B162" s="1">
        <v>1.27</v>
      </c>
      <c r="C162" s="1">
        <v>85</v>
      </c>
      <c r="D162" s="11">
        <f t="shared" si="21"/>
        <v>107.95</v>
      </c>
      <c r="E162" s="14">
        <f t="shared" si="22"/>
        <v>280.67</v>
      </c>
      <c r="F162" s="11">
        <f t="shared" si="23"/>
        <v>982.34500000000003</v>
      </c>
      <c r="G162" s="6">
        <v>1</v>
      </c>
      <c r="I162" s="6">
        <v>1000</v>
      </c>
      <c r="K162" s="18" t="str">
        <f t="shared" si="16"/>
        <v>1000 руб
PN-002
1,27/85/107,95
280,67</v>
      </c>
      <c r="L162" s="14">
        <f t="shared" si="17"/>
        <v>280.67</v>
      </c>
    </row>
    <row r="163" spans="1:12" ht="59.25" customHeight="1" x14ac:dyDescent="0.25">
      <c r="A163" s="5" t="s">
        <v>200</v>
      </c>
      <c r="B163" s="1">
        <v>2.14</v>
      </c>
      <c r="C163" s="1">
        <v>85</v>
      </c>
      <c r="D163" s="11">
        <f t="shared" si="21"/>
        <v>181.9</v>
      </c>
      <c r="E163" s="14">
        <f t="shared" si="22"/>
        <v>472.94000000000005</v>
      </c>
      <c r="F163" s="11">
        <f t="shared" si="23"/>
        <v>1655.2900000000002</v>
      </c>
      <c r="G163" s="6">
        <v>1</v>
      </c>
      <c r="I163" s="6">
        <v>1700</v>
      </c>
      <c r="K163" s="18" t="str">
        <f t="shared" si="16"/>
        <v>1700 руб
PN-003
2,14/85/181,9
472,94</v>
      </c>
      <c r="L163" s="14">
        <f t="shared" si="17"/>
        <v>472.94000000000005</v>
      </c>
    </row>
    <row r="164" spans="1:12" ht="59.25" customHeight="1" x14ac:dyDescent="0.25">
      <c r="A164" s="5" t="s">
        <v>154</v>
      </c>
      <c r="B164" s="1">
        <v>1</v>
      </c>
      <c r="C164" s="1">
        <v>16</v>
      </c>
      <c r="D164" s="11">
        <f t="shared" si="21"/>
        <v>16</v>
      </c>
      <c r="E164" s="14">
        <f t="shared" si="22"/>
        <v>41.6</v>
      </c>
      <c r="F164" s="11">
        <f t="shared" si="23"/>
        <v>145.6</v>
      </c>
      <c r="G164" s="1">
        <v>25</v>
      </c>
      <c r="I164" s="6">
        <v>150</v>
      </c>
      <c r="K164" s="18" t="str">
        <f t="shared" si="16"/>
        <v>150 руб
ER-119
1/16/16
41,6</v>
      </c>
      <c r="L164" s="14">
        <f t="shared" si="17"/>
        <v>1040</v>
      </c>
    </row>
    <row r="165" spans="1:12" ht="59.25" customHeight="1" x14ac:dyDescent="0.25">
      <c r="A165" s="5" t="s">
        <v>155</v>
      </c>
      <c r="B165" s="1">
        <v>1</v>
      </c>
      <c r="C165" s="1">
        <v>35</v>
      </c>
      <c r="D165" s="11">
        <f t="shared" si="21"/>
        <v>35</v>
      </c>
      <c r="E165" s="14">
        <f t="shared" si="22"/>
        <v>91</v>
      </c>
      <c r="F165" s="11">
        <f t="shared" si="23"/>
        <v>318.5</v>
      </c>
      <c r="G165" s="1">
        <v>24</v>
      </c>
      <c r="I165" s="6">
        <v>320</v>
      </c>
      <c r="K165" s="18" t="str">
        <f t="shared" si="16"/>
        <v>320 руб
ER-120
1/35/35
91</v>
      </c>
      <c r="L165" s="14">
        <f t="shared" si="17"/>
        <v>2184</v>
      </c>
    </row>
    <row r="166" spans="1:12" ht="59.25" customHeight="1" x14ac:dyDescent="0.25">
      <c r="A166" s="5" t="s">
        <v>201</v>
      </c>
      <c r="B166" s="1">
        <v>9.4700000000000006</v>
      </c>
      <c r="C166" s="1">
        <v>85</v>
      </c>
      <c r="D166" s="11">
        <f t="shared" si="21"/>
        <v>804.95</v>
      </c>
      <c r="E166" s="14">
        <f t="shared" si="22"/>
        <v>2092.8700000000003</v>
      </c>
      <c r="F166" s="11">
        <f t="shared" si="23"/>
        <v>7325.045000000001</v>
      </c>
      <c r="G166" s="6">
        <v>1</v>
      </c>
      <c r="I166" s="6">
        <v>7500</v>
      </c>
      <c r="K166" s="18" t="str">
        <f t="shared" si="16"/>
        <v>7500 руб
ST-009
9,47/85/804,95
2092,87</v>
      </c>
      <c r="L166" s="14">
        <f t="shared" si="17"/>
        <v>2092.8700000000003</v>
      </c>
    </row>
    <row r="167" spans="1:12" ht="59.25" customHeight="1" x14ac:dyDescent="0.25">
      <c r="A167" s="5" t="s">
        <v>202</v>
      </c>
      <c r="B167" s="1">
        <v>3.63</v>
      </c>
      <c r="C167" s="1">
        <v>400</v>
      </c>
      <c r="D167" s="11">
        <v>400</v>
      </c>
      <c r="E167" s="14">
        <f t="shared" si="22"/>
        <v>1040</v>
      </c>
      <c r="F167" s="11">
        <f t="shared" si="23"/>
        <v>3640</v>
      </c>
      <c r="G167" s="6">
        <v>1</v>
      </c>
      <c r="I167" s="6">
        <v>3800</v>
      </c>
      <c r="K167" s="18" t="str">
        <f t="shared" si="16"/>
        <v>3800 руб
RG-020
3,63/400/400
1040</v>
      </c>
      <c r="L167" s="14">
        <f t="shared" si="17"/>
        <v>1040</v>
      </c>
    </row>
    <row r="168" spans="1:12" ht="59.25" customHeight="1" x14ac:dyDescent="0.25">
      <c r="A168" s="5" t="s">
        <v>203</v>
      </c>
      <c r="B168" s="1">
        <v>3.03</v>
      </c>
      <c r="C168" s="1">
        <v>232</v>
      </c>
      <c r="D168" s="11">
        <v>232</v>
      </c>
      <c r="E168" s="14">
        <f t="shared" si="22"/>
        <v>603.20000000000005</v>
      </c>
      <c r="F168" s="11">
        <f t="shared" si="23"/>
        <v>2111.2000000000003</v>
      </c>
      <c r="G168" s="6">
        <v>3</v>
      </c>
      <c r="I168" s="6">
        <v>2200</v>
      </c>
      <c r="K168" s="18" t="str">
        <f t="shared" si="16"/>
        <v>2200 руб
RG-021
3,03/232/232
603,2</v>
      </c>
      <c r="L168" s="14">
        <f t="shared" si="17"/>
        <v>1809.6000000000001</v>
      </c>
    </row>
    <row r="169" spans="1:12" ht="14.25" customHeight="1" x14ac:dyDescent="0.25">
      <c r="A169" s="19" t="s">
        <v>205</v>
      </c>
      <c r="G169" s="6">
        <v>2</v>
      </c>
      <c r="L169" s="14">
        <f t="shared" si="17"/>
        <v>0</v>
      </c>
    </row>
    <row r="170" spans="1:12" ht="14.25" customHeight="1" x14ac:dyDescent="0.25">
      <c r="A170" s="19" t="s">
        <v>206</v>
      </c>
      <c r="G170" s="6">
        <v>1</v>
      </c>
      <c r="L170" s="14">
        <f t="shared" si="17"/>
        <v>0</v>
      </c>
    </row>
    <row r="171" spans="1:12" ht="14.25" customHeight="1" x14ac:dyDescent="0.25"/>
    <row r="172" spans="1:12" ht="14.25" customHeight="1" x14ac:dyDescent="0.25"/>
    <row r="173" spans="1:12" ht="14.25" customHeight="1" x14ac:dyDescent="0.25"/>
    <row r="174" spans="1:12" ht="14.25" customHeight="1" x14ac:dyDescent="0.25"/>
    <row r="175" spans="1:12" ht="14.25" customHeight="1" x14ac:dyDescent="0.25"/>
    <row r="176" spans="1:12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</sheetData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Haridas</dc:creator>
  <cp:lastModifiedBy>Haridas Yapparov</cp:lastModifiedBy>
  <dcterms:created xsi:type="dcterms:W3CDTF">2025-06-04T08:14:39Z</dcterms:created>
  <dcterms:modified xsi:type="dcterms:W3CDTF">2026-03-02T03:46:13Z</dcterms:modified>
</cp:coreProperties>
</file>